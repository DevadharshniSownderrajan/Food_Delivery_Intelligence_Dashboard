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star\Documents\Excel\"/>
    </mc:Choice>
  </mc:AlternateContent>
  <bookViews>
    <workbookView xWindow="0" yWindow="0" windowWidth="20490" windowHeight="7755" activeTab="2"/>
  </bookViews>
  <sheets>
    <sheet name="Data" sheetId="1" r:id="rId1"/>
    <sheet name="PIvots" sheetId="2" r:id="rId2"/>
    <sheet name="Dashboard" sheetId="3" r:id="rId3"/>
  </sheets>
  <definedNames>
    <definedName name="Slicer_City">#N/A</definedName>
    <definedName name="Slicer_Cuisine">#N/A</definedName>
    <definedName name="Slicer_Payment_Mode">#N/A</definedName>
    <definedName name="Slicer_Rating">#N/A</definedName>
  </definedNames>
  <calcPr calcId="152511"/>
  <pivotCaches>
    <pivotCache cacheId="1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<sst xmlns="http://schemas.openxmlformats.org/spreadsheetml/2006/main" count="344" uniqueCount="27">
  <si>
    <t>OrderID</t>
  </si>
  <si>
    <t>Date</t>
  </si>
  <si>
    <t>City</t>
  </si>
  <si>
    <t>Cuisine</t>
  </si>
  <si>
    <t>Delivery_Time_Min</t>
  </si>
  <si>
    <t>Order_Value</t>
  </si>
  <si>
    <t>Payment_Mode</t>
  </si>
  <si>
    <t>Rating</t>
  </si>
  <si>
    <t>Madurai</t>
  </si>
  <si>
    <t>South Indian</t>
  </si>
  <si>
    <t>UPI</t>
  </si>
  <si>
    <t>Chennai</t>
  </si>
  <si>
    <t>Chinese</t>
  </si>
  <si>
    <t>Card</t>
  </si>
  <si>
    <t>Coimbatore</t>
  </si>
  <si>
    <t>North Indian</t>
  </si>
  <si>
    <t>Cash</t>
  </si>
  <si>
    <t>Biryani</t>
  </si>
  <si>
    <t>Fast Food</t>
  </si>
  <si>
    <t>Salem</t>
  </si>
  <si>
    <t>Trichy</t>
  </si>
  <si>
    <t>Row Labels</t>
  </si>
  <si>
    <t>Grand Total</t>
  </si>
  <si>
    <t>Sum of OrderID</t>
  </si>
  <si>
    <t>Max of Delivery_Time_Min</t>
  </si>
  <si>
    <t>Count of Payment_Mode</t>
  </si>
  <si>
    <t>Max of Rating</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</si>
</sst>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[food_dashboard.xlsx]PIvots!PivotTable1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lgerian" panose="04020705040A02060702" pitchFamily="82" charset="0"/>
                <a:ea typeface="+mn-ea"/>
                <a:cs typeface="+mn-cs"/>
              </a:defRPr>
            </a:pPr>
            <a:r>
              <a:rPr lang="en-US">
                <a:latin typeface="Algerian" panose="04020705040A02060702" pitchFamily="82" charset="0"/>
              </a:rPr>
              <a:t>City</a:t>
            </a:r>
            <a:r>
              <a:rPr lang="en-US" baseline="0">
                <a:latin typeface="Algerian" panose="04020705040A02060702" pitchFamily="82" charset="0"/>
              </a:rPr>
              <a:t> wise orders</a:t>
            </a:r>
            <a:endParaRPr lang="en-US">
              <a:latin typeface="Algerian" panose="04020705040A02060702" pitchFamily="82" charset="0"/>
            </a:endParaRPr>
          </a:p>
        </c:rich>
      </c:tx>
      <c:layout>
        <c:manualLayout>
          <c:xMode val="edge"/>
          <c:yMode val="edge"/>
          <c:x val="0.29415457738269823"/>
          <c:y val="5.72422187802735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lgerian" panose="04020705040A02060702" pitchFamily="82" charset="0"/>
              <a:ea typeface="+mn-ea"/>
              <a:cs typeface="+mn-cs"/>
            </a:defRPr>
          </a:pPr>
          <a:endParaRPr lang="en-US"/>
        </a:p>
      </c:txPr>
    </c:title>
    <c:autoTitleDeleted val="0"/>
    <c:pivotFmts>
      <c:pivotFmt>
        <c:idx val="0"/>
        <c:spPr>
          <a:solidFill>
            <a:schemeClr val="accent1"/>
          </a:solidFill>
          <a:ln>
            <a:noFill/>
          </a:ln>
          <a:effectLst/>
        </c:spPr>
        <c:marker>
          <c:symbol val="circle"/>
          <c:size val="5"/>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ofPieChart>
        <c:ofPieType val="bar"/>
        <c:varyColors val="1"/>
        <c:ser>
          <c:idx val="0"/>
          <c:order val="0"/>
          <c:tx>
            <c:strRef>
              <c:f>PIvots!$B$3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PIvots!$A$4:$A$9</c:f>
              <c:strCache>
                <c:ptCount val="5"/>
                <c:pt idx="0">
                  <c:v>Chennai</c:v>
                </c:pt>
                <c:pt idx="1">
                  <c:v>Coimbatore</c:v>
                </c:pt>
                <c:pt idx="2">
                  <c:v>Madurai</c:v>
                </c:pt>
                <c:pt idx="3">
                  <c:v>Salem</c:v>
                </c:pt>
                <c:pt idx="4">
                  <c:v>Trichy</c:v>
                </c:pt>
              </c:strCache>
            </c:strRef>
          </c:cat>
          <c:val>
            <c:numRef>
              <c:f>PIvots!$B$4:$B$9</c:f>
              <c:numCache>
                <c:formatCode>General</c:formatCode>
                <c:ptCount val="5"/>
                <c:pt idx="0">
                  <c:v>1008</c:v>
                </c:pt>
                <c:pt idx="1">
                  <c:v>578</c:v>
                </c:pt>
                <c:pt idx="2">
                  <c:v>984</c:v>
                </c:pt>
                <c:pt idx="3">
                  <c:v>760</c:v>
                </c:pt>
                <c:pt idx="4">
                  <c:v>778</c:v>
                </c:pt>
              </c:numCache>
            </c:numRef>
          </c:val>
        </c:ser>
        <c:dLbls>
          <c:dLblPos val="outEnd"/>
          <c:showLegendKey val="0"/>
          <c:showVal val="1"/>
          <c:showCatName val="0"/>
          <c:showSerName val="0"/>
          <c:showPercent val="0"/>
          <c:showBubbleSize val="0"/>
          <c:showLeaderLines val="1"/>
        </c:dLbls>
        <c:gapWidth val="15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[food_dashboard.xlsx]PIvots!PivotTable2</c:name>
    <c:fmtId val="8"/>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cked"/>
        <c:varyColors val="0"/>
        <c:ser>
          <c:idx val="0"/>
          <c:order val="0"/>
          <c:tx>
            <c:strRef>
              <c:f>PIvots!$B$12</c:f>
              <c:strCache>
                <c:ptCount val="1"/>
                <c:pt idx="0">
                  <c:v>Total</c:v>
                </c:pt>
              </c:strCache>
            </c:strRef>
          </c:tx>
          <c:spPr>
            <a:ln w="28575" cap="rnd">
              <a:solidFill>
                <a:schemeClr val="accent1"/>
              </a:solidFill>
              <a:round/>
            </a:ln>
            <a:effectLst/>
          </c:spPr>
          <c:marker>
            <c:symbol val="none"/>
          </c:marker>
          <c:cat>
            <c:strRef>
              <c:f>PIvots!$A$13:$A$17</c:f>
              <c:strCache>
                <c:ptCount val="4"/>
                <c:pt idx="0">
                  <c:v>Biryani</c:v>
                </c:pt>
                <c:pt idx="1">
                  <c:v>Chinese</c:v>
                </c:pt>
                <c:pt idx="2">
                  <c:v>Fast Food</c:v>
                </c:pt>
                <c:pt idx="3">
                  <c:v>North Indian</c:v>
                </c:pt>
              </c:strCache>
            </c:strRef>
          </c:cat>
          <c:val>
            <c:numRef>
              <c:f>PIvots!$B$13:$B$17</c:f>
              <c:numCache>
                <c:formatCode>General</c:formatCode>
                <c:ptCount val="4"/>
                <c:pt idx="0">
                  <c:v>1297</c:v>
                </c:pt>
                <c:pt idx="1">
                  <c:v>1233</c:v>
                </c:pt>
                <c:pt idx="2">
                  <c:v>1232</c:v>
                </c:pt>
                <c:pt idx="3">
                  <c:v>346</c:v>
                </c:pt>
              </c:numCache>
            </c:numRef>
          </c:val>
          <c:smooth val="0"/>
        </c:ser>
        <c:dLbls>
          <c:showLegendKey val="0"/>
          <c:showVal val="0"/>
          <c:showCatName val="0"/>
          <c:showSerName val="0"/>
          <c:showPercent val="0"/>
          <c:showBubbleSize val="0"/>
        </c:dLbls>
        <c:smooth val="0"/>
        <c:axId val="647796688"/>
        <c:axId val="647790704"/>
      </c:lineChart>
      <c:catAx>
        <c:axId val="64779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790704"/>
        <c:crosses val="autoZero"/>
        <c:auto val="1"/>
        <c:lblAlgn val="ctr"/>
        <c:lblOffset val="100"/>
        <c:noMultiLvlLbl val="0"/>
      </c:catAx>
      <c:valAx>
        <c:axId val="647790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7966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[food_dashboard.xlsx]PIvots!PivotTable3</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stacked"/>
        <c:varyColors val="0"/>
        <c:ser>
          <c:idx val="0"/>
          <c:order val="0"/>
          <c:tx>
            <c:strRef>
              <c:f>PIvots!$B$21</c:f>
              <c:strCache>
                <c:ptCount val="1"/>
                <c:pt idx="0">
                  <c:v>Total</c:v>
                </c:pt>
              </c:strCache>
            </c:strRef>
          </c:tx>
          <c:spPr>
            <a:solidFill>
              <a:schemeClr val="accent1"/>
            </a:solidFill>
            <a:ln>
              <a:noFill/>
            </a:ln>
            <a:effectLst/>
          </c:spPr>
          <c:invertIfNegative val="0"/>
          <c:cat>
            <c:strRef>
              <c:f>PIvots!$A$22:$A$27</c:f>
              <c:strCache>
                <c:ptCount val="5"/>
                <c:pt idx="0">
                  <c:v>Chennai</c:v>
                </c:pt>
                <c:pt idx="1">
                  <c:v>Coimbatore</c:v>
                </c:pt>
                <c:pt idx="2">
                  <c:v>Madurai</c:v>
                </c:pt>
                <c:pt idx="3">
                  <c:v>Salem</c:v>
                </c:pt>
                <c:pt idx="4">
                  <c:v>Trichy</c:v>
                </c:pt>
              </c:strCache>
            </c:strRef>
          </c:cat>
          <c:val>
            <c:numRef>
              <c:f>PIvots!$B$22:$B$27</c:f>
              <c:numCache>
                <c:formatCode>General</c:formatCode>
                <c:ptCount val="5"/>
                <c:pt idx="0">
                  <c:v>38</c:v>
                </c:pt>
                <c:pt idx="1">
                  <c:v>37</c:v>
                </c:pt>
                <c:pt idx="2">
                  <c:v>36</c:v>
                </c:pt>
                <c:pt idx="3">
                  <c:v>37</c:v>
                </c:pt>
                <c:pt idx="4">
                  <c:v>37</c:v>
                </c:pt>
              </c:numCache>
            </c:numRef>
          </c:val>
        </c:ser>
        <c:dLbls>
          <c:showLegendKey val="0"/>
          <c:showVal val="0"/>
          <c:showCatName val="0"/>
          <c:showSerName val="0"/>
          <c:showPercent val="0"/>
          <c:showBubbleSize val="0"/>
        </c:dLbls>
        <c:gapWidth val="150"/>
        <c:overlap val="100"/>
        <c:axId val="645599168"/>
        <c:axId val="645597536"/>
      </c:barChart>
      <c:catAx>
        <c:axId val="64559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597536"/>
        <c:crosses val="autoZero"/>
        <c:auto val="1"/>
        <c:lblAlgn val="ctr"/>
        <c:lblOffset val="100"/>
        <c:noMultiLvlLbl val="0"/>
      </c:catAx>
      <c:valAx>
        <c:axId val="64559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5991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[food_dashboard.xlsx]PIvots!PivotTable4</c:name>
    <c:fmtId val="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doughnutChart>
        <c:varyColors val="1"/>
        <c:ser>
          <c:idx val="0"/>
          <c:order val="0"/>
          <c:tx>
            <c:strRef>
              <c:f>PIvots!$B$30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PIvots!$A$31:$A$34</c:f>
              <c:strCache>
                <c:ptCount val="3"/>
                <c:pt idx="0">
                  <c:v>Card</c:v>
                </c:pt>
                <c:pt idx="1">
                  <c:v>Cash</c:v>
                </c:pt>
                <c:pt idx="2">
                  <c:v>UPI</c:v>
                </c:pt>
              </c:strCache>
            </c:strRef>
          </c:cat>
          <c:val>
            <c:numRef>
              <c:f>PIvots!$B$31:$B$34</c:f>
              <c:numCache>
                <c:formatCode>General</c:formatCode>
                <c:ptCount val="3"/>
                <c:pt idx="0">
                  <c:v>29</c:v>
                </c:pt>
                <c:pt idx="1">
                  <c:v>20</c:v>
                </c:pt>
                <c:pt idx="2">
                  <c:v>32</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[food_dashboard.xlsx]PIvots!PivotTable5</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radarChart>
        <c:radarStyle val="marker"/>
        <c:varyColors val="0"/>
        <c:ser>
          <c:idx val="0"/>
          <c:order val="0"/>
          <c:tx>
            <c:strRef>
              <c:f>PIvots!$B$37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PIvots!$A$38:$A$42</c:f>
              <c:strCache>
                <c:ptCount val="4"/>
                <c:pt idx="0">
                  <c:v>Biryani</c:v>
                </c:pt>
                <c:pt idx="1">
                  <c:v>Chinese</c:v>
                </c:pt>
                <c:pt idx="2">
                  <c:v>Fast Food</c:v>
                </c:pt>
                <c:pt idx="3">
                  <c:v>North Indian</c:v>
                </c:pt>
              </c:strCache>
            </c:strRef>
          </c:cat>
          <c:val>
            <c:numRef>
              <c:f>PIvots!$B$38:$B$42</c:f>
              <c:numCache>
                <c:formatCode>General</c:formatCode>
                <c:ptCount val="4"/>
                <c:pt idx="0">
                  <c:v>4.7</c:v>
                </c:pt>
                <c:pt idx="1">
                  <c:v>4.4000000000000004</c:v>
                </c:pt>
                <c:pt idx="2">
                  <c:v>3.9</c:v>
                </c:pt>
                <c:pt idx="3">
                  <c:v>4.4000000000000004</c:v>
                </c:pt>
              </c:numCache>
            </c:numRef>
          </c:val>
        </c:ser>
        <c:dLbls>
          <c:showLegendKey val="0"/>
          <c:showVal val="0"/>
          <c:showCatName val="0"/>
          <c:showSerName val="0"/>
          <c:showPercent val="0"/>
          <c:showBubbleSize val="0"/>
        </c:dLbls>
        <c:axId val="688696768"/>
        <c:axId val="688702208"/>
      </c:radarChart>
      <c:catAx>
        <c:axId val="68869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702208"/>
        <c:crosses val="autoZero"/>
        <c:auto val="1"/>
        <c:lblAlgn val="ctr"/>
        <c:lblOffset val="100"/>
        <c:noMultiLvlLbl val="0"/>
      </c:catAx>
      <c:valAx>
        <c:axId val="68870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6967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[food_dashboard.xlsx]PIvots!PivotTable1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latin typeface="Algerian" panose="04020705040A02060702" pitchFamily="82" charset="0"/>
              </a:rPr>
              <a:t>City wise orders</a:t>
            </a:r>
          </a:p>
        </c:rich>
      </c:tx>
      <c:layout>
        <c:manualLayout>
          <c:xMode val="edge"/>
          <c:yMode val="edge"/>
          <c:x val="0.23213923840915229"/>
          <c:y val="0.1615616704049514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ofPieChart>
        <c:ofPieType val="bar"/>
        <c:varyColors val="1"/>
        <c:ser>
          <c:idx val="0"/>
          <c:order val="0"/>
          <c:tx>
            <c:strRef>
              <c:f>PIvots!$B$3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PIvots!$A$4:$A$9</c:f>
              <c:strCache>
                <c:ptCount val="5"/>
                <c:pt idx="0">
                  <c:v>Chennai</c:v>
                </c:pt>
                <c:pt idx="1">
                  <c:v>Coimbatore</c:v>
                </c:pt>
                <c:pt idx="2">
                  <c:v>Madurai</c:v>
                </c:pt>
                <c:pt idx="3">
                  <c:v>Salem</c:v>
                </c:pt>
                <c:pt idx="4">
                  <c:v>Trichy</c:v>
                </c:pt>
              </c:strCache>
            </c:strRef>
          </c:cat>
          <c:val>
            <c:numRef>
              <c:f>PIvots!$B$4:$B$9</c:f>
              <c:numCache>
                <c:formatCode>General</c:formatCode>
                <c:ptCount val="5"/>
                <c:pt idx="0">
                  <c:v>1008</c:v>
                </c:pt>
                <c:pt idx="1">
                  <c:v>578</c:v>
                </c:pt>
                <c:pt idx="2">
                  <c:v>984</c:v>
                </c:pt>
                <c:pt idx="3">
                  <c:v>760</c:v>
                </c:pt>
                <c:pt idx="4">
                  <c:v>778</c:v>
                </c:pt>
              </c:numCache>
            </c:numRef>
          </c:val>
        </c:ser>
        <c:dLbls>
          <c:dLblPos val="outEnd"/>
          <c:showLegendKey val="0"/>
          <c:showVal val="1"/>
          <c:showCatName val="0"/>
          <c:showSerName val="0"/>
          <c:showPercent val="0"/>
          <c:showBubbleSize val="0"/>
          <c:showLeaderLines val="1"/>
        </c:dLbls>
        <c:gapWidth val="15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[food_dashboard.xlsx]PIvots!PivotTable2</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latin typeface="Algerian" panose="04020705040A02060702" pitchFamily="82" charset="0"/>
              </a:rPr>
              <a:t>Cuisine wise orders</a:t>
            </a:r>
          </a:p>
        </c:rich>
      </c:tx>
      <c:layout>
        <c:manualLayout>
          <c:xMode val="edge"/>
          <c:yMode val="edge"/>
          <c:x val="0.25911104866622564"/>
          <c:y val="0.1221959995692293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cked"/>
        <c:varyColors val="0"/>
        <c:ser>
          <c:idx val="0"/>
          <c:order val="0"/>
          <c:tx>
            <c:strRef>
              <c:f>PIvots!$B$12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PIvots!$A$13:$A$17</c:f>
              <c:strCache>
                <c:ptCount val="4"/>
                <c:pt idx="0">
                  <c:v>Biryani</c:v>
                </c:pt>
                <c:pt idx="1">
                  <c:v>Chinese</c:v>
                </c:pt>
                <c:pt idx="2">
                  <c:v>Fast Food</c:v>
                </c:pt>
                <c:pt idx="3">
                  <c:v>North Indian</c:v>
                </c:pt>
              </c:strCache>
            </c:strRef>
          </c:cat>
          <c:val>
            <c:numRef>
              <c:f>PIvots!$B$13:$B$17</c:f>
              <c:numCache>
                <c:formatCode>General</c:formatCode>
                <c:ptCount val="4"/>
                <c:pt idx="0">
                  <c:v>1297</c:v>
                </c:pt>
                <c:pt idx="1">
                  <c:v>1233</c:v>
                </c:pt>
                <c:pt idx="2">
                  <c:v>1232</c:v>
                </c:pt>
                <c:pt idx="3">
                  <c:v>346</c:v>
                </c:pt>
              </c:numCache>
            </c:numRef>
          </c:val>
          <c:smooth val="0"/>
        </c:ser>
        <c:dLbls>
          <c:dLblPos val="t"/>
          <c:showLegendKey val="0"/>
          <c:showVal val="1"/>
          <c:showCatName val="0"/>
          <c:showSerName val="0"/>
          <c:showPercent val="0"/>
          <c:showBubbleSize val="0"/>
        </c:dLbls>
        <c:marker val="1"/>
        <c:smooth val="0"/>
        <c:axId val="648206576"/>
        <c:axId val="648208208"/>
      </c:lineChart>
      <c:catAx>
        <c:axId val="64820657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8208208"/>
        <c:crosses val="autoZero"/>
        <c:auto val="1"/>
        <c:lblAlgn val="ctr"/>
        <c:lblOffset val="100"/>
        <c:noMultiLvlLbl val="0"/>
      </c:catAx>
      <c:valAx>
        <c:axId val="648208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8206576"/>
        <c:crosses val="autoZero"/>
        <c:crossBetween val="between"/>
      </c:valAx>
      <c:spPr>
        <a:noFill/>
        <a:ln>
          <a:noFill/>
        </a:ln>
        <a:effectLst/>
      </c:spPr>
    </c:plotArea>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[food_dashboard.xlsx]PIvots!PivotTable3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latin typeface="Algerian" panose="04020705040A02060702" pitchFamily="82" charset="0"/>
              </a:rPr>
              <a:t>Max of delivery time</a:t>
            </a:r>
          </a:p>
        </c:rich>
      </c:tx>
      <c:layout>
        <c:manualLayout>
          <c:xMode val="edge"/>
          <c:yMode val="edge"/>
          <c:x val="0.27111111111111114"/>
          <c:y val="0.1220141599947065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8328416912487712E-2"/>
              <c:y val="-0.237904673680495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19764011799403E-2"/>
              <c:y val="-0.209037252696354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3598820058996977E-2"/>
              <c:y val="-0.13535190454134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9331366764994942E-2"/>
              <c:y val="-0.209037252696354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1976401179941E-2"/>
              <c:y val="-0.197832770903637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7.959828837205056E-2"/>
          <c:y val="0.29299455215156928"/>
          <c:w val="0.87330027579017577"/>
          <c:h val="0.45502900372747523"/>
        </c:manualLayout>
      </c:layout>
      <c:barChart>
        <c:barDir val="col"/>
        <c:grouping val="stacked"/>
        <c:varyColors val="0"/>
        <c:ser>
          <c:idx val="0"/>
          <c:order val="0"/>
          <c:tx>
            <c:strRef>
              <c:f>PIvots!$B$21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9.8328416912487712E-2"/>
                  <c:y val="-0.23790467368049587"/>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4.719764011799403E-2"/>
                  <c:y val="-0.20903725269635412"/>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2.3598820058996977E-2"/>
                  <c:y val="-0.1353519045413441"/>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3.9331366764994942E-2"/>
                  <c:y val="-0.20903725269635412"/>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4.71976401179941E-2"/>
                  <c:y val="-0.19783277090363705"/>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PIvots!$A$22:$A$27</c:f>
              <c:strCache>
                <c:ptCount val="5"/>
                <c:pt idx="0">
                  <c:v>Chennai</c:v>
                </c:pt>
                <c:pt idx="1">
                  <c:v>Coimbatore</c:v>
                </c:pt>
                <c:pt idx="2">
                  <c:v>Madurai</c:v>
                </c:pt>
                <c:pt idx="3">
                  <c:v>Salem</c:v>
                </c:pt>
                <c:pt idx="4">
                  <c:v>Trichy</c:v>
                </c:pt>
              </c:strCache>
            </c:strRef>
          </c:cat>
          <c:val>
            <c:numRef>
              <c:f>PIvots!$B$22:$B$27</c:f>
              <c:numCache>
                <c:formatCode>General</c:formatCode>
                <c:ptCount val="5"/>
                <c:pt idx="0">
                  <c:v>38</c:v>
                </c:pt>
                <c:pt idx="1">
                  <c:v>37</c:v>
                </c:pt>
                <c:pt idx="2">
                  <c:v>36</c:v>
                </c:pt>
                <c:pt idx="3">
                  <c:v>37</c:v>
                </c:pt>
                <c:pt idx="4">
                  <c:v>37</c:v>
                </c:pt>
              </c:numCache>
            </c:numRef>
          </c:val>
        </c:ser>
        <c:dLbls>
          <c:dLblPos val="inEnd"/>
          <c:showLegendKey val="0"/>
          <c:showVal val="1"/>
          <c:showCatName val="0"/>
          <c:showSerName val="0"/>
          <c:showPercent val="0"/>
          <c:showBubbleSize val="0"/>
        </c:dLbls>
        <c:gapWidth val="150"/>
        <c:overlap val="100"/>
        <c:axId val="342819424"/>
        <c:axId val="342820512"/>
      </c:barChart>
      <c:catAx>
        <c:axId val="3428194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2820512"/>
        <c:crosses val="autoZero"/>
        <c:auto val="1"/>
        <c:lblAlgn val="ctr"/>
        <c:lblOffset val="100"/>
        <c:noMultiLvlLbl val="0"/>
      </c:catAx>
      <c:valAx>
        <c:axId val="342820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281942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[food_dashboard.xlsx]PIvots!PivotTable4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latin typeface="Algerian" panose="04020705040A02060702" pitchFamily="82" charset="0"/>
              </a:rPr>
              <a:t>Most</a:t>
            </a:r>
            <a:r>
              <a:rPr lang="en-US" sz="1100" baseline="0">
                <a:latin typeface="Algerian" panose="04020705040A02060702" pitchFamily="82" charset="0"/>
              </a:rPr>
              <a:t> payment mode</a:t>
            </a:r>
            <a:endParaRPr lang="en-US" sz="1100">
              <a:latin typeface="Algerian" panose="04020705040A02060702" pitchFamily="82" charset="0"/>
            </a:endParaRPr>
          </a:p>
        </c:rich>
      </c:tx>
      <c:layout>
        <c:manualLayout>
          <c:xMode val="edge"/>
          <c:yMode val="edge"/>
          <c:x val="0.23953938190158663"/>
          <c:y val="0.1338219819296781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PIvots!$B$30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PIvots!$A$31:$A$34</c:f>
              <c:strCache>
                <c:ptCount val="3"/>
                <c:pt idx="0">
                  <c:v>Card</c:v>
                </c:pt>
                <c:pt idx="1">
                  <c:v>Cash</c:v>
                </c:pt>
                <c:pt idx="2">
                  <c:v>UPI</c:v>
                </c:pt>
              </c:strCache>
            </c:strRef>
          </c:cat>
          <c:val>
            <c:numRef>
              <c:f>PIvots!$B$31:$B$34</c:f>
              <c:numCache>
                <c:formatCode>General</c:formatCode>
                <c:ptCount val="3"/>
                <c:pt idx="0">
                  <c:v>29</c:v>
                </c:pt>
                <c:pt idx="1">
                  <c:v>20</c:v>
                </c:pt>
                <c:pt idx="2">
                  <c:v>32</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[food_dashboard.xlsx]PIvots!PivotTable5</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100">
                <a:latin typeface="Algerian" panose="04020705040A02060702" pitchFamily="82" charset="0"/>
              </a:rPr>
              <a:t>Max</a:t>
            </a:r>
            <a:r>
              <a:rPr lang="en-US" sz="1100" baseline="0">
                <a:latin typeface="Algerian" panose="04020705040A02060702" pitchFamily="82" charset="0"/>
              </a:rPr>
              <a:t> rating cuisine</a:t>
            </a:r>
            <a:endParaRPr lang="en-US" sz="1100">
              <a:latin typeface="Algerian" panose="04020705040A02060702" pitchFamily="82" charset="0"/>
            </a:endParaRPr>
          </a:p>
        </c:rich>
      </c:tx>
      <c:layout>
        <c:manualLayout>
          <c:xMode val="edge"/>
          <c:yMode val="edge"/>
          <c:x val="0.29602770487022456"/>
          <c:y val="6.150646263556678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radarChart>
        <c:radarStyle val="marker"/>
        <c:varyColors val="0"/>
        <c:ser>
          <c:idx val="0"/>
          <c:order val="0"/>
          <c:tx>
            <c:strRef>
              <c:f>PIvots!$B$37</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PIvots!$A$38:$A$42</c:f>
              <c:strCache>
                <c:ptCount val="4"/>
                <c:pt idx="0">
                  <c:v>Biryani</c:v>
                </c:pt>
                <c:pt idx="1">
                  <c:v>Chinese</c:v>
                </c:pt>
                <c:pt idx="2">
                  <c:v>Fast Food</c:v>
                </c:pt>
                <c:pt idx="3">
                  <c:v>North Indian</c:v>
                </c:pt>
              </c:strCache>
            </c:strRef>
          </c:cat>
          <c:val>
            <c:numRef>
              <c:f>PIvots!$B$38:$B$42</c:f>
              <c:numCache>
                <c:formatCode>General</c:formatCode>
                <c:ptCount val="4"/>
                <c:pt idx="0">
                  <c:v>4.7</c:v>
                </c:pt>
                <c:pt idx="1">
                  <c:v>4.4000000000000004</c:v>
                </c:pt>
                <c:pt idx="2">
                  <c:v>3.9</c:v>
                </c:pt>
                <c:pt idx="3">
                  <c:v>4.4000000000000004</c:v>
                </c:pt>
              </c:numCache>
            </c:numRef>
          </c:val>
        </c:ser>
        <c:dLbls>
          <c:showLegendKey val="0"/>
          <c:showVal val="0"/>
          <c:showCatName val="0"/>
          <c:showSerName val="0"/>
          <c:showPercent val="0"/>
          <c:showBubbleSize val="0"/>
        </c:dLbls>
        <c:axId val="690974384"/>
        <c:axId val="690968400"/>
      </c:radarChart>
      <c:catAx>
        <c:axId val="6909743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0968400"/>
        <c:crosses val="autoZero"/>
        <c:auto val="1"/>
        <c:lblAlgn val="ctr"/>
        <c:lblOffset val="100"/>
        <c:noMultiLvlLbl val="0"/>
      </c:catAx>
      <c:valAx>
        <c:axId val="690968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097438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jpe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23</xdr:col>
      <xdr:colOff>9525</xdr:colOff>
      <xdr:row>2</xdr:row>
      <xdr:rowOff>9526</xdr:rowOff>
    </xdr:from>
    <xdr:to>
      <xdr:col>26</xdr:col>
      <xdr:colOff>9525</xdr:colOff>
      <xdr:row>11</xdr:row>
      <xdr:rowOff>66676</xdr:rowOff>
    </xdr:to>
    <mc:AlternateContent xmlns:mc="http://schemas.openxmlformats.org/markup-compatibility/2006">
      <mc:Choice xmlns:a14="http://schemas.microsoft.com/office/drawing/2010/main" Requires="a14">
        <xdr:graphicFrame macro="">
          <xdr:nvGraphicFramePr>
            <xdr:cNvPr id="2" name="Cuisine"/>
            <xdr:cNvGraphicFramePr/>
          </xdr:nvGraphicFramePr>
          <xdr:xfrm>
            <a:off x="0" y="0"/>
            <a:ext cx="0" cy="0"/>
          </xdr:xfrm>
          <a:graphic>
            <a:graphicData uri="http://schemas.microsoft.com/office/drawing/2010/slicer">
              <sle:slicer xmlns:sle="http://schemas.microsoft.com/office/drawing/2010/slicer" name="Cuisine"/>
            </a:graphicData>
          </a:graphic>
        </xdr:graphicFrame>
      </mc:Choice>
      <mc:Fallback>
        <xdr:sp macro="" textlink="">
          <xdr:nvSpPr>
            <xdr:cNvPr id="0" name=""/>
            <xdr:cNvSpPr>
              <a:spLocks noTextEdit="1"/>
            </xdr:cNvSpPr>
          </xdr:nvSpPr>
          <xdr:spPr>
            <a:xfrm>
              <a:off x="14573250" y="390526"/>
              <a:ext cx="1828800" cy="1771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57150</xdr:colOff>
      <xdr:row>12</xdr:row>
      <xdr:rowOff>161926</xdr:rowOff>
    </xdr:from>
    <xdr:to>
      <xdr:col>25</xdr:col>
      <xdr:colOff>190500</xdr:colOff>
      <xdr:row>16</xdr:row>
      <xdr:rowOff>104775</xdr:rowOff>
    </xdr:to>
    <mc:AlternateContent xmlns:mc="http://schemas.openxmlformats.org/markup-compatibility/2006">
      <mc:Choice xmlns:a14="http://schemas.microsoft.com/office/drawing/2010/main" Requires="a14">
        <xdr:graphicFrame macro="">
          <xdr:nvGraphicFramePr>
            <xdr:cNvPr id="3"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1572875" y="2447926"/>
              <a:ext cx="4400550" cy="704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352425</xdr:colOff>
      <xdr:row>4</xdr:row>
      <xdr:rowOff>95250</xdr:rowOff>
    </xdr:from>
    <xdr:to>
      <xdr:col>22</xdr:col>
      <xdr:colOff>352425</xdr:colOff>
      <xdr:row>10</xdr:row>
      <xdr:rowOff>85725</xdr:rowOff>
    </xdr:to>
    <mc:AlternateContent xmlns:mc="http://schemas.openxmlformats.org/markup-compatibility/2006">
      <mc:Choice xmlns:a14="http://schemas.microsoft.com/office/drawing/2010/main" Requires="a14">
        <xdr:graphicFrame macro="">
          <xdr:nvGraphicFramePr>
            <xdr:cNvPr id="6" name="Payment_Mode"/>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12477750" y="857250"/>
              <a:ext cx="1828800" cy="1133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285750</xdr:colOff>
      <xdr:row>17</xdr:row>
      <xdr:rowOff>47625</xdr:rowOff>
    </xdr:from>
    <xdr:to>
      <xdr:col>25</xdr:col>
      <xdr:colOff>114300</xdr:colOff>
      <xdr:row>22</xdr:row>
      <xdr:rowOff>114300</xdr:rowOff>
    </xdr:to>
    <mc:AlternateContent xmlns:mc="http://schemas.openxmlformats.org/markup-compatibility/2006">
      <mc:Choice xmlns:a14="http://schemas.microsoft.com/office/drawing/2010/main" Requires="a14">
        <xdr:graphicFrame macro="">
          <xdr:nvGraphicFramePr>
            <xdr:cNvPr id="7" name="Rating"/>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10582275" y="3286125"/>
              <a:ext cx="5314950" cy="1019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161924</xdr:colOff>
      <xdr:row>0</xdr:row>
      <xdr:rowOff>166687</xdr:rowOff>
    </xdr:from>
    <xdr:to>
      <xdr:col>8</xdr:col>
      <xdr:colOff>438149</xdr:colOff>
      <xdr:row>11</xdr:row>
      <xdr:rowOff>19050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485775</xdr:colOff>
      <xdr:row>2</xdr:row>
      <xdr:rowOff>147637</xdr:rowOff>
    </xdr:from>
    <xdr:to>
      <xdr:col>16</xdr:col>
      <xdr:colOff>180975</xdr:colOff>
      <xdr:row>8</xdr:row>
      <xdr:rowOff>152400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561975</xdr:colOff>
      <xdr:row>9</xdr:row>
      <xdr:rowOff>100012</xdr:rowOff>
    </xdr:from>
    <xdr:to>
      <xdr:col>16</xdr:col>
      <xdr:colOff>295275</xdr:colOff>
      <xdr:row>23</xdr:row>
      <xdr:rowOff>176212</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123824</xdr:colOff>
      <xdr:row>28</xdr:row>
      <xdr:rowOff>33337</xdr:rowOff>
    </xdr:from>
    <xdr:to>
      <xdr:col>13</xdr:col>
      <xdr:colOff>247649</xdr:colOff>
      <xdr:row>36</xdr:row>
      <xdr:rowOff>47625</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290512</xdr:colOff>
      <xdr:row>32</xdr:row>
      <xdr:rowOff>4762</xdr:rowOff>
    </xdr:from>
    <xdr:to>
      <xdr:col>10</xdr:col>
      <xdr:colOff>595312</xdr:colOff>
      <xdr:row>46</xdr:row>
      <xdr:rowOff>80962</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0</xdr:colOff>
      <xdr:row>33</xdr:row>
      <xdr:rowOff>0</xdr:rowOff>
    </xdr:to>
    <xdr:sp macro="" textlink="">
      <xdr:nvSpPr>
        <xdr:cNvPr id="2" name="Rounded Rectangle 1"/>
        <xdr:cNvSpPr/>
      </xdr:nvSpPr>
      <xdr:spPr>
        <a:xfrm>
          <a:off x="0" y="0"/>
          <a:ext cx="12801600" cy="6286500"/>
        </a:xfrm>
        <a:prstGeom prst="roundRect">
          <a:avLst>
            <a:gd name="adj" fmla="val 481"/>
          </a:avLst>
        </a:prstGeom>
        <a:solidFill>
          <a:schemeClr val="tx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180976</xdr:colOff>
      <xdr:row>0</xdr:row>
      <xdr:rowOff>66676</xdr:rowOff>
    </xdr:from>
    <xdr:to>
      <xdr:col>20</xdr:col>
      <xdr:colOff>180976</xdr:colOff>
      <xdr:row>3</xdr:row>
      <xdr:rowOff>180975</xdr:rowOff>
    </xdr:to>
    <xdr:sp macro="" textlink="">
      <xdr:nvSpPr>
        <xdr:cNvPr id="3" name="Rounded Rectangle 2"/>
        <xdr:cNvSpPr/>
      </xdr:nvSpPr>
      <xdr:spPr>
        <a:xfrm>
          <a:off x="180976" y="66676"/>
          <a:ext cx="12192000" cy="685799"/>
        </a:xfrm>
        <a:prstGeom prst="roundRect">
          <a:avLst>
            <a:gd name="adj"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38099</xdr:colOff>
      <xdr:row>0</xdr:row>
      <xdr:rowOff>133350</xdr:rowOff>
    </xdr:from>
    <xdr:to>
      <xdr:col>4</xdr:col>
      <xdr:colOff>219074</xdr:colOff>
      <xdr:row>3</xdr:row>
      <xdr:rowOff>152399</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66899" y="133350"/>
          <a:ext cx="790575" cy="590549"/>
        </a:xfrm>
        <a:prstGeom prst="rect">
          <a:avLst/>
        </a:prstGeom>
      </xdr:spPr>
    </xdr:pic>
    <xdr:clientData/>
  </xdr:twoCellAnchor>
  <xdr:twoCellAnchor>
    <xdr:from>
      <xdr:col>4</xdr:col>
      <xdr:colOff>228600</xdr:colOff>
      <xdr:row>0</xdr:row>
      <xdr:rowOff>57150</xdr:rowOff>
    </xdr:from>
    <xdr:to>
      <xdr:col>19</xdr:col>
      <xdr:colOff>276225</xdr:colOff>
      <xdr:row>3</xdr:row>
      <xdr:rowOff>28575</xdr:rowOff>
    </xdr:to>
    <xdr:sp macro="" textlink="">
      <xdr:nvSpPr>
        <xdr:cNvPr id="5" name="TextBox 4"/>
        <xdr:cNvSpPr txBox="1"/>
      </xdr:nvSpPr>
      <xdr:spPr>
        <a:xfrm>
          <a:off x="2667000" y="57150"/>
          <a:ext cx="9191625" cy="54292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latin typeface="Algerian" panose="04020705040A02060702" pitchFamily="82" charset="0"/>
            </a:rPr>
            <a:t>Food</a:t>
          </a:r>
          <a:r>
            <a:rPr lang="en-IN" sz="3200" b="1" baseline="0">
              <a:latin typeface="Algerian" panose="04020705040A02060702" pitchFamily="82" charset="0"/>
            </a:rPr>
            <a:t> Delivery Intelligence Dashboard</a:t>
          </a:r>
          <a:endParaRPr lang="en-IN" sz="3200" b="1">
            <a:latin typeface="Algerian" panose="04020705040A02060702" pitchFamily="82" charset="0"/>
          </a:endParaRPr>
        </a:p>
      </xdr:txBody>
    </xdr:sp>
    <xdr:clientData/>
  </xdr:twoCellAnchor>
  <xdr:twoCellAnchor editAs="oneCell">
    <xdr:from>
      <xdr:col>0</xdr:col>
      <xdr:colOff>171451</xdr:colOff>
      <xdr:row>4</xdr:row>
      <xdr:rowOff>38100</xdr:rowOff>
    </xdr:from>
    <xdr:to>
      <xdr:col>2</xdr:col>
      <xdr:colOff>533401</xdr:colOff>
      <xdr:row>13</xdr:row>
      <xdr:rowOff>28576</xdr:rowOff>
    </xdr:to>
    <mc:AlternateContent xmlns:mc="http://schemas.openxmlformats.org/markup-compatibility/2006">
      <mc:Choice xmlns:a14="http://schemas.microsoft.com/office/drawing/2010/main" Requires="a14">
        <xdr:graphicFrame macro="">
          <xdr:nvGraphicFramePr>
            <xdr:cNvPr id="6"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71451" y="800100"/>
              <a:ext cx="1581150" cy="17049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161926</xdr:colOff>
      <xdr:row>4</xdr:row>
      <xdr:rowOff>66675</xdr:rowOff>
    </xdr:from>
    <xdr:to>
      <xdr:col>20</xdr:col>
      <xdr:colOff>180975</xdr:colOff>
      <xdr:row>9</xdr:row>
      <xdr:rowOff>38100</xdr:rowOff>
    </xdr:to>
    <mc:AlternateContent xmlns:mc="http://schemas.openxmlformats.org/markup-compatibility/2006">
      <mc:Choice xmlns:a14="http://schemas.microsoft.com/office/drawing/2010/main" Requires="a14">
        <xdr:graphicFrame macro="">
          <xdr:nvGraphicFramePr>
            <xdr:cNvPr id="7" name="Rating 1"/>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dr:sp macro="" textlink="">
          <xdr:nvSpPr>
            <xdr:cNvPr id="0" name=""/>
            <xdr:cNvSpPr>
              <a:spLocks noTextEdit="1"/>
            </xdr:cNvSpPr>
          </xdr:nvSpPr>
          <xdr:spPr>
            <a:xfrm>
              <a:off x="9915526" y="828675"/>
              <a:ext cx="2457449" cy="923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161926</xdr:colOff>
      <xdr:row>13</xdr:row>
      <xdr:rowOff>142874</xdr:rowOff>
    </xdr:from>
    <xdr:to>
      <xdr:col>2</xdr:col>
      <xdr:colOff>542926</xdr:colOff>
      <xdr:row>17</xdr:row>
      <xdr:rowOff>9525</xdr:rowOff>
    </xdr:to>
    <mc:AlternateContent xmlns:mc="http://schemas.openxmlformats.org/markup-compatibility/2006">
      <mc:Choice xmlns:a14="http://schemas.microsoft.com/office/drawing/2010/main" Requires="a14">
        <xdr:graphicFrame macro="">
          <xdr:nvGraphicFramePr>
            <xdr:cNvPr id="8" name="Payment_Mode 1"/>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dr:sp macro="" textlink="">
          <xdr:nvSpPr>
            <xdr:cNvPr id="0" name=""/>
            <xdr:cNvSpPr>
              <a:spLocks noTextEdit="1"/>
            </xdr:cNvSpPr>
          </xdr:nvSpPr>
          <xdr:spPr>
            <a:xfrm>
              <a:off x="161926" y="2619374"/>
              <a:ext cx="1600200" cy="6286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152400</xdr:colOff>
      <xdr:row>9</xdr:row>
      <xdr:rowOff>133350</xdr:rowOff>
    </xdr:from>
    <xdr:to>
      <xdr:col>20</xdr:col>
      <xdr:colOff>161925</xdr:colOff>
      <xdr:row>16</xdr:row>
      <xdr:rowOff>142875</xdr:rowOff>
    </xdr:to>
    <mc:AlternateContent xmlns:mc="http://schemas.openxmlformats.org/markup-compatibility/2006">
      <mc:Choice xmlns:a14="http://schemas.microsoft.com/office/drawing/2010/main" Requires="a14">
        <xdr:graphicFrame macro="">
          <xdr:nvGraphicFramePr>
            <xdr:cNvPr id="9" name="Cuisine 1"/>
            <xdr:cNvGraphicFramePr/>
          </xdr:nvGraphicFramePr>
          <xdr:xfrm>
            <a:off x="0" y="0"/>
            <a:ext cx="0" cy="0"/>
          </xdr:xfrm>
          <a:graphic>
            <a:graphicData uri="http://schemas.microsoft.com/office/drawing/2010/slicer">
              <sle:slicer xmlns:sle="http://schemas.microsoft.com/office/drawing/2010/slicer" name="Cuisine 1"/>
            </a:graphicData>
          </a:graphic>
        </xdr:graphicFrame>
      </mc:Choice>
      <mc:Fallback>
        <xdr:sp macro="" textlink="">
          <xdr:nvSpPr>
            <xdr:cNvPr id="0" name=""/>
            <xdr:cNvSpPr>
              <a:spLocks noTextEdit="1"/>
            </xdr:cNvSpPr>
          </xdr:nvSpPr>
          <xdr:spPr>
            <a:xfrm>
              <a:off x="9906000" y="1847850"/>
              <a:ext cx="2447925" cy="1343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266700</xdr:colOff>
      <xdr:row>5</xdr:row>
      <xdr:rowOff>123825</xdr:rowOff>
    </xdr:from>
    <xdr:to>
      <xdr:col>14</xdr:col>
      <xdr:colOff>304800</xdr:colOff>
      <xdr:row>17</xdr:row>
      <xdr:rowOff>180975</xdr:rowOff>
    </xdr:to>
    <xdr:sp macro="" textlink="">
      <xdr:nvSpPr>
        <xdr:cNvPr id="10" name="Rectangle 9"/>
        <xdr:cNvSpPr/>
      </xdr:nvSpPr>
      <xdr:spPr>
        <a:xfrm>
          <a:off x="2705100" y="1076325"/>
          <a:ext cx="6134100" cy="2343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190500</xdr:colOff>
      <xdr:row>4</xdr:row>
      <xdr:rowOff>133350</xdr:rowOff>
    </xdr:from>
    <xdr:to>
      <xdr:col>9</xdr:col>
      <xdr:colOff>47625</xdr:colOff>
      <xdr:row>16</xdr:row>
      <xdr:rowOff>142875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400051</xdr:colOff>
      <xdr:row>4</xdr:row>
      <xdr:rowOff>171448</xdr:rowOff>
    </xdr:from>
    <xdr:to>
      <xdr:col>15</xdr:col>
      <xdr:colOff>600075</xdr:colOff>
      <xdr:row>16</xdr:row>
      <xdr:rowOff>190499</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447675</xdr:colOff>
      <xdr:row>18</xdr:row>
      <xdr:rowOff>57150</xdr:rowOff>
    </xdr:from>
    <xdr:to>
      <xdr:col>13</xdr:col>
      <xdr:colOff>295276</xdr:colOff>
      <xdr:row>30</xdr:row>
      <xdr:rowOff>38100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228600</xdr:colOff>
      <xdr:row>18</xdr:row>
      <xdr:rowOff>85725</xdr:rowOff>
    </xdr:from>
    <xdr:to>
      <xdr:col>6</xdr:col>
      <xdr:colOff>0</xdr:colOff>
      <xdr:row>30</xdr:row>
      <xdr:rowOff>38100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0</xdr:colOff>
      <xdr:row>18</xdr:row>
      <xdr:rowOff>38100</xdr:rowOff>
    </xdr:from>
    <xdr:to>
      <xdr:col>19</xdr:col>
      <xdr:colOff>381000</xdr:colOff>
      <xdr:row>30</xdr:row>
      <xdr:rowOff>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tar" refreshedDate="46109.825323495374" createdVersion="5" refreshedVersion="5" minRefreshableVersion="3" recordCount="100">
  <cacheSource type="worksheet">
    <worksheetSource name="Table1"/>
  </cacheSource>
  <cacheFields count="8">
    <cacheField name="OrderID" numFmtId="0">
      <sharedItems containsSemiMixedTypes="0" containsString="0" containsNumber="1" containsInteger="1" minValue="1" maxValue="100"/>
    </cacheField>
    <cacheField name="Date" numFmtId="14">
      <sharedItems containsSemiMixedTypes="0" containsNonDate="0" containsDate="1" containsString="0" minDate="2025-01-01T00:00:00" maxDate="2025-02-03T00:00:00"/>
    </cacheField>
    <cacheField name="City" numFmtId="0">
      <sharedItems count="5">
        <s v="Madurai"/>
        <s v="Chennai"/>
        <s v="Coimbatore"/>
        <s v="Salem"/>
        <s v="Trichy"/>
      </sharedItems>
    </cacheField>
    <cacheField name="Cuisine" numFmtId="0">
      <sharedItems count="5">
        <s v="South Indian"/>
        <s v="Chinese"/>
        <s v="North Indian"/>
        <s v="Biryani"/>
        <s v="Fast Food"/>
      </sharedItems>
    </cacheField>
    <cacheField name="Delivery_Time_Min" numFmtId="0">
      <sharedItems containsSemiMixedTypes="0" containsString="0" containsNumber="1" containsInteger="1" minValue="19" maxValue="38"/>
    </cacheField>
    <cacheField name="Order_Value" numFmtId="0">
      <sharedItems containsSemiMixedTypes="0" containsString="0" containsNumber="1" containsInteger="1" minValue="230" maxValue="560"/>
    </cacheField>
    <cacheField name="Payment_Mode" numFmtId="0">
      <sharedItems count="3">
        <s v="UPI"/>
        <s v="Card"/>
        <s v="Cash"/>
      </sharedItems>
    </cacheField>
    <cacheField name="Rating" numFmtId="0">
      <sharedItems containsSemiMixedTypes="0" containsString="0" containsNumber="1" minValue="3.8" maxValue="4.7" count="10">
        <n v="4.5"/>
        <n v="4.2"/>
        <n v="4.0999999999999996"/>
        <n v="4.7"/>
        <n v="3.9"/>
        <n v="4.3"/>
        <n v="4"/>
        <n v="4.5999999999999996"/>
        <n v="3.8"/>
        <n v="4.4000000000000004"/>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
  <r>
    <n v="1"/>
    <d v="2025-01-01T00:00:00"/>
    <x v="0"/>
    <x v="0"/>
    <n v="28"/>
    <n v="320"/>
    <x v="0"/>
    <x v="0"/>
  </r>
  <r>
    <n v="2"/>
    <d v="2025-01-01T00:00:00"/>
    <x v="1"/>
    <x v="1"/>
    <n v="35"/>
    <n v="450"/>
    <x v="1"/>
    <x v="1"/>
  </r>
  <r>
    <n v="3"/>
    <d v="2025-01-01T00:00:00"/>
    <x v="2"/>
    <x v="2"/>
    <n v="30"/>
    <n v="380"/>
    <x v="2"/>
    <x v="2"/>
  </r>
  <r>
    <n v="4"/>
    <d v="2025-01-02T00:00:00"/>
    <x v="0"/>
    <x v="3"/>
    <n v="25"/>
    <n v="520"/>
    <x v="0"/>
    <x v="3"/>
  </r>
  <r>
    <n v="5"/>
    <d v="2025-01-02T00:00:00"/>
    <x v="1"/>
    <x v="4"/>
    <n v="22"/>
    <n v="290"/>
    <x v="1"/>
    <x v="4"/>
  </r>
  <r>
    <n v="6"/>
    <d v="2025-01-02T00:00:00"/>
    <x v="3"/>
    <x v="1"/>
    <n v="33"/>
    <n v="410"/>
    <x v="0"/>
    <x v="5"/>
  </r>
  <r>
    <n v="7"/>
    <d v="2025-01-03T00:00:00"/>
    <x v="4"/>
    <x v="0"/>
    <n v="20"/>
    <n v="260"/>
    <x v="2"/>
    <x v="6"/>
  </r>
  <r>
    <n v="8"/>
    <d v="2025-01-03T00:00:00"/>
    <x v="1"/>
    <x v="3"/>
    <n v="38"/>
    <n v="550"/>
    <x v="1"/>
    <x v="7"/>
  </r>
  <r>
    <n v="9"/>
    <d v="2025-01-03T00:00:00"/>
    <x v="0"/>
    <x v="4"/>
    <n v="24"/>
    <n v="300"/>
    <x v="0"/>
    <x v="8"/>
  </r>
  <r>
    <n v="10"/>
    <d v="2025-01-04T00:00:00"/>
    <x v="2"/>
    <x v="1"/>
    <n v="29"/>
    <n v="420"/>
    <x v="1"/>
    <x v="9"/>
  </r>
  <r>
    <n v="11"/>
    <d v="2025-01-04T00:00:00"/>
    <x v="3"/>
    <x v="0"/>
    <n v="21"/>
    <n v="240"/>
    <x v="0"/>
    <x v="2"/>
  </r>
  <r>
    <n v="12"/>
    <d v="2025-01-04T00:00:00"/>
    <x v="4"/>
    <x v="3"/>
    <n v="34"/>
    <n v="510"/>
    <x v="2"/>
    <x v="0"/>
  </r>
  <r>
    <n v="13"/>
    <d v="2025-01-05T00:00:00"/>
    <x v="0"/>
    <x v="4"/>
    <n v="23"/>
    <n v="310"/>
    <x v="0"/>
    <x v="4"/>
  </r>
  <r>
    <n v="14"/>
    <d v="2025-01-05T00:00:00"/>
    <x v="1"/>
    <x v="2"/>
    <n v="37"/>
    <n v="480"/>
    <x v="1"/>
    <x v="5"/>
  </r>
  <r>
    <n v="15"/>
    <d v="2025-01-05T00:00:00"/>
    <x v="2"/>
    <x v="1"/>
    <n v="31"/>
    <n v="400"/>
    <x v="0"/>
    <x v="1"/>
  </r>
  <r>
    <n v="16"/>
    <d v="2025-01-06T00:00:00"/>
    <x v="3"/>
    <x v="3"/>
    <n v="27"/>
    <n v="530"/>
    <x v="2"/>
    <x v="7"/>
  </r>
  <r>
    <n v="17"/>
    <d v="2025-01-06T00:00:00"/>
    <x v="4"/>
    <x v="0"/>
    <n v="19"/>
    <n v="230"/>
    <x v="0"/>
    <x v="6"/>
  </r>
  <r>
    <n v="18"/>
    <d v="2025-01-06T00:00:00"/>
    <x v="0"/>
    <x v="1"/>
    <n v="32"/>
    <n v="410"/>
    <x v="1"/>
    <x v="1"/>
  </r>
  <r>
    <n v="19"/>
    <d v="2025-01-07T00:00:00"/>
    <x v="1"/>
    <x v="4"/>
    <n v="26"/>
    <n v="300"/>
    <x v="0"/>
    <x v="8"/>
  </r>
  <r>
    <n v="20"/>
    <d v="2025-01-07T00:00:00"/>
    <x v="2"/>
    <x v="3"/>
    <n v="36"/>
    <n v="560"/>
    <x v="1"/>
    <x v="3"/>
  </r>
  <r>
    <n v="21"/>
    <d v="2025-01-07T00:00:00"/>
    <x v="3"/>
    <x v="2"/>
    <n v="30"/>
    <n v="390"/>
    <x v="2"/>
    <x v="2"/>
  </r>
  <r>
    <n v="22"/>
    <d v="2025-01-08T00:00:00"/>
    <x v="4"/>
    <x v="1"/>
    <n v="28"/>
    <n v="420"/>
    <x v="0"/>
    <x v="5"/>
  </r>
  <r>
    <n v="23"/>
    <d v="2025-01-08T00:00:00"/>
    <x v="0"/>
    <x v="3"/>
    <n v="25"/>
    <n v="540"/>
    <x v="1"/>
    <x v="7"/>
  </r>
  <r>
    <n v="24"/>
    <d v="2025-01-08T00:00:00"/>
    <x v="1"/>
    <x v="0"/>
    <n v="20"/>
    <n v="250"/>
    <x v="2"/>
    <x v="6"/>
  </r>
  <r>
    <n v="25"/>
    <d v="2025-01-09T00:00:00"/>
    <x v="2"/>
    <x v="4"/>
    <n v="24"/>
    <n v="310"/>
    <x v="0"/>
    <x v="4"/>
  </r>
  <r>
    <n v="26"/>
    <d v="2025-01-09T00:00:00"/>
    <x v="3"/>
    <x v="1"/>
    <n v="34"/>
    <n v="430"/>
    <x v="1"/>
    <x v="1"/>
  </r>
  <r>
    <n v="27"/>
    <d v="2025-01-09T00:00:00"/>
    <x v="4"/>
    <x v="3"/>
    <n v="37"/>
    <n v="560"/>
    <x v="2"/>
    <x v="0"/>
  </r>
  <r>
    <n v="28"/>
    <d v="2025-01-10T00:00:00"/>
    <x v="0"/>
    <x v="0"/>
    <n v="21"/>
    <n v="260"/>
    <x v="0"/>
    <x v="2"/>
  </r>
  <r>
    <n v="29"/>
    <d v="2025-01-10T00:00:00"/>
    <x v="1"/>
    <x v="1"/>
    <n v="33"/>
    <n v="440"/>
    <x v="1"/>
    <x v="9"/>
  </r>
  <r>
    <n v="30"/>
    <d v="2025-01-10T00:00:00"/>
    <x v="2"/>
    <x v="4"/>
    <n v="23"/>
    <n v="300"/>
    <x v="0"/>
    <x v="8"/>
  </r>
  <r>
    <n v="31"/>
    <d v="2025-01-11T00:00:00"/>
    <x v="3"/>
    <x v="3"/>
    <n v="35"/>
    <n v="520"/>
    <x v="2"/>
    <x v="7"/>
  </r>
  <r>
    <n v="32"/>
    <d v="2025-01-11T00:00:00"/>
    <x v="4"/>
    <x v="2"/>
    <n v="29"/>
    <n v="410"/>
    <x v="0"/>
    <x v="1"/>
  </r>
  <r>
    <n v="33"/>
    <d v="2025-01-11T00:00:00"/>
    <x v="0"/>
    <x v="1"/>
    <n v="31"/>
    <n v="420"/>
    <x v="1"/>
    <x v="5"/>
  </r>
  <r>
    <n v="34"/>
    <d v="2025-01-12T00:00:00"/>
    <x v="1"/>
    <x v="4"/>
    <n v="22"/>
    <n v="290"/>
    <x v="0"/>
    <x v="4"/>
  </r>
  <r>
    <n v="35"/>
    <d v="2025-01-12T00:00:00"/>
    <x v="2"/>
    <x v="0"/>
    <n v="19"/>
    <n v="240"/>
    <x v="2"/>
    <x v="6"/>
  </r>
  <r>
    <n v="36"/>
    <d v="2025-01-12T00:00:00"/>
    <x v="3"/>
    <x v="3"/>
    <n v="36"/>
    <n v="540"/>
    <x v="1"/>
    <x v="3"/>
  </r>
  <r>
    <n v="37"/>
    <d v="2025-01-13T00:00:00"/>
    <x v="4"/>
    <x v="1"/>
    <n v="30"/>
    <n v="410"/>
    <x v="0"/>
    <x v="1"/>
  </r>
  <r>
    <n v="38"/>
    <d v="2025-01-13T00:00:00"/>
    <x v="0"/>
    <x v="4"/>
    <n v="24"/>
    <n v="310"/>
    <x v="1"/>
    <x v="8"/>
  </r>
  <r>
    <n v="39"/>
    <d v="2025-01-13T00:00:00"/>
    <x v="1"/>
    <x v="2"/>
    <n v="34"/>
    <n v="480"/>
    <x v="0"/>
    <x v="9"/>
  </r>
  <r>
    <n v="40"/>
    <d v="2025-01-14T00:00:00"/>
    <x v="2"/>
    <x v="3"/>
    <n v="37"/>
    <n v="560"/>
    <x v="2"/>
    <x v="7"/>
  </r>
  <r>
    <n v="41"/>
    <d v="2025-01-14T00:00:00"/>
    <x v="3"/>
    <x v="1"/>
    <n v="32"/>
    <n v="420"/>
    <x v="0"/>
    <x v="5"/>
  </r>
  <r>
    <n v="42"/>
    <d v="2025-01-14T00:00:00"/>
    <x v="4"/>
    <x v="0"/>
    <n v="20"/>
    <n v="250"/>
    <x v="1"/>
    <x v="2"/>
  </r>
  <r>
    <n v="43"/>
    <d v="2025-01-15T00:00:00"/>
    <x v="0"/>
    <x v="4"/>
    <n v="23"/>
    <n v="300"/>
    <x v="0"/>
    <x v="4"/>
  </r>
  <r>
    <n v="44"/>
    <d v="2025-01-15T00:00:00"/>
    <x v="1"/>
    <x v="3"/>
    <n v="35"/>
    <n v="550"/>
    <x v="1"/>
    <x v="3"/>
  </r>
  <r>
    <n v="45"/>
    <d v="2025-01-15T00:00:00"/>
    <x v="2"/>
    <x v="1"/>
    <n v="31"/>
    <n v="420"/>
    <x v="2"/>
    <x v="1"/>
  </r>
  <r>
    <n v="46"/>
    <d v="2025-01-16T00:00:00"/>
    <x v="3"/>
    <x v="0"/>
    <n v="21"/>
    <n v="240"/>
    <x v="0"/>
    <x v="6"/>
  </r>
  <r>
    <n v="47"/>
    <d v="2025-01-16T00:00:00"/>
    <x v="4"/>
    <x v="4"/>
    <n v="24"/>
    <n v="310"/>
    <x v="1"/>
    <x v="8"/>
  </r>
  <r>
    <n v="48"/>
    <d v="2025-01-16T00:00:00"/>
    <x v="0"/>
    <x v="3"/>
    <n v="36"/>
    <n v="540"/>
    <x v="0"/>
    <x v="7"/>
  </r>
  <r>
    <n v="49"/>
    <d v="2025-01-17T00:00:00"/>
    <x v="1"/>
    <x v="1"/>
    <n v="33"/>
    <n v="430"/>
    <x v="2"/>
    <x v="5"/>
  </r>
  <r>
    <n v="50"/>
    <d v="2025-01-17T00:00:00"/>
    <x v="2"/>
    <x v="0"/>
    <n v="19"/>
    <n v="230"/>
    <x v="0"/>
    <x v="2"/>
  </r>
  <r>
    <n v="51"/>
    <d v="2025-01-17T00:00:00"/>
    <x v="3"/>
    <x v="4"/>
    <n v="22"/>
    <n v="290"/>
    <x v="1"/>
    <x v="4"/>
  </r>
  <r>
    <n v="52"/>
    <d v="2025-01-18T00:00:00"/>
    <x v="4"/>
    <x v="3"/>
    <n v="34"/>
    <n v="520"/>
    <x v="0"/>
    <x v="0"/>
  </r>
  <r>
    <n v="53"/>
    <d v="2025-01-18T00:00:00"/>
    <x v="0"/>
    <x v="1"/>
    <n v="31"/>
    <n v="420"/>
    <x v="2"/>
    <x v="1"/>
  </r>
  <r>
    <n v="54"/>
    <d v="2025-01-18T00:00:00"/>
    <x v="1"/>
    <x v="4"/>
    <n v="24"/>
    <n v="300"/>
    <x v="1"/>
    <x v="8"/>
  </r>
  <r>
    <n v="55"/>
    <d v="2025-01-19T00:00:00"/>
    <x v="2"/>
    <x v="0"/>
    <n v="20"/>
    <n v="250"/>
    <x v="0"/>
    <x v="6"/>
  </r>
  <r>
    <n v="56"/>
    <d v="2025-01-19T00:00:00"/>
    <x v="3"/>
    <x v="3"/>
    <n v="37"/>
    <n v="560"/>
    <x v="1"/>
    <x v="3"/>
  </r>
  <r>
    <n v="57"/>
    <d v="2025-01-19T00:00:00"/>
    <x v="4"/>
    <x v="1"/>
    <n v="29"/>
    <n v="410"/>
    <x v="2"/>
    <x v="1"/>
  </r>
  <r>
    <n v="58"/>
    <d v="2025-01-20T00:00:00"/>
    <x v="0"/>
    <x v="4"/>
    <n v="23"/>
    <n v="310"/>
    <x v="0"/>
    <x v="4"/>
  </r>
  <r>
    <n v="59"/>
    <d v="2025-01-20T00:00:00"/>
    <x v="1"/>
    <x v="2"/>
    <n v="34"/>
    <n v="480"/>
    <x v="1"/>
    <x v="9"/>
  </r>
  <r>
    <n v="60"/>
    <d v="2025-01-20T00:00:00"/>
    <x v="2"/>
    <x v="3"/>
    <n v="36"/>
    <n v="540"/>
    <x v="0"/>
    <x v="7"/>
  </r>
  <r>
    <n v="61"/>
    <d v="2025-01-21T00:00:00"/>
    <x v="3"/>
    <x v="1"/>
    <n v="32"/>
    <n v="420"/>
    <x v="2"/>
    <x v="5"/>
  </r>
  <r>
    <n v="62"/>
    <d v="2025-01-21T00:00:00"/>
    <x v="4"/>
    <x v="0"/>
    <n v="20"/>
    <n v="240"/>
    <x v="0"/>
    <x v="6"/>
  </r>
  <r>
    <n v="63"/>
    <d v="2025-01-21T00:00:00"/>
    <x v="0"/>
    <x v="4"/>
    <n v="23"/>
    <n v="300"/>
    <x v="1"/>
    <x v="8"/>
  </r>
  <r>
    <n v="64"/>
    <d v="2025-01-22T00:00:00"/>
    <x v="1"/>
    <x v="3"/>
    <n v="35"/>
    <n v="550"/>
    <x v="0"/>
    <x v="3"/>
  </r>
  <r>
    <n v="65"/>
    <d v="2025-01-22T00:00:00"/>
    <x v="2"/>
    <x v="1"/>
    <n v="31"/>
    <n v="420"/>
    <x v="2"/>
    <x v="1"/>
  </r>
  <r>
    <n v="66"/>
    <d v="2025-01-22T00:00:00"/>
    <x v="3"/>
    <x v="0"/>
    <n v="21"/>
    <n v="240"/>
    <x v="1"/>
    <x v="2"/>
  </r>
  <r>
    <n v="67"/>
    <d v="2025-01-23T00:00:00"/>
    <x v="4"/>
    <x v="4"/>
    <n v="24"/>
    <n v="310"/>
    <x v="0"/>
    <x v="4"/>
  </r>
  <r>
    <n v="68"/>
    <d v="2025-01-23T00:00:00"/>
    <x v="0"/>
    <x v="3"/>
    <n v="36"/>
    <n v="540"/>
    <x v="2"/>
    <x v="7"/>
  </r>
  <r>
    <n v="69"/>
    <d v="2025-01-23T00:00:00"/>
    <x v="1"/>
    <x v="1"/>
    <n v="33"/>
    <n v="430"/>
    <x v="1"/>
    <x v="5"/>
  </r>
  <r>
    <n v="70"/>
    <d v="2025-01-24T00:00:00"/>
    <x v="2"/>
    <x v="0"/>
    <n v="19"/>
    <n v="230"/>
    <x v="0"/>
    <x v="6"/>
  </r>
  <r>
    <n v="71"/>
    <d v="2025-01-24T00:00:00"/>
    <x v="3"/>
    <x v="4"/>
    <n v="22"/>
    <n v="290"/>
    <x v="1"/>
    <x v="8"/>
  </r>
  <r>
    <n v="72"/>
    <d v="2025-01-24T00:00:00"/>
    <x v="4"/>
    <x v="3"/>
    <n v="34"/>
    <n v="520"/>
    <x v="0"/>
    <x v="0"/>
  </r>
  <r>
    <n v="73"/>
    <d v="2025-01-25T00:00:00"/>
    <x v="0"/>
    <x v="1"/>
    <n v="31"/>
    <n v="420"/>
    <x v="2"/>
    <x v="1"/>
  </r>
  <r>
    <n v="74"/>
    <d v="2025-01-25T00:00:00"/>
    <x v="1"/>
    <x v="4"/>
    <n v="24"/>
    <n v="300"/>
    <x v="1"/>
    <x v="4"/>
  </r>
  <r>
    <n v="75"/>
    <d v="2025-01-25T00:00:00"/>
    <x v="2"/>
    <x v="0"/>
    <n v="20"/>
    <n v="250"/>
    <x v="0"/>
    <x v="2"/>
  </r>
  <r>
    <n v="76"/>
    <d v="2025-01-26T00:00:00"/>
    <x v="3"/>
    <x v="3"/>
    <n v="37"/>
    <n v="560"/>
    <x v="1"/>
    <x v="3"/>
  </r>
  <r>
    <n v="77"/>
    <d v="2025-01-26T00:00:00"/>
    <x v="4"/>
    <x v="1"/>
    <n v="29"/>
    <n v="410"/>
    <x v="0"/>
    <x v="5"/>
  </r>
  <r>
    <n v="78"/>
    <d v="2025-01-26T00:00:00"/>
    <x v="0"/>
    <x v="4"/>
    <n v="23"/>
    <n v="310"/>
    <x v="2"/>
    <x v="8"/>
  </r>
  <r>
    <n v="79"/>
    <d v="2025-01-27T00:00:00"/>
    <x v="1"/>
    <x v="2"/>
    <n v="34"/>
    <n v="480"/>
    <x v="1"/>
    <x v="9"/>
  </r>
  <r>
    <n v="80"/>
    <d v="2025-01-27T00:00:00"/>
    <x v="2"/>
    <x v="3"/>
    <n v="36"/>
    <n v="540"/>
    <x v="0"/>
    <x v="7"/>
  </r>
  <r>
    <n v="81"/>
    <d v="2025-01-27T00:00:00"/>
    <x v="3"/>
    <x v="1"/>
    <n v="32"/>
    <n v="420"/>
    <x v="2"/>
    <x v="5"/>
  </r>
  <r>
    <n v="82"/>
    <d v="2025-01-28T00:00:00"/>
    <x v="4"/>
    <x v="0"/>
    <n v="20"/>
    <n v="240"/>
    <x v="0"/>
    <x v="2"/>
  </r>
  <r>
    <n v="83"/>
    <d v="2025-01-28T00:00:00"/>
    <x v="0"/>
    <x v="4"/>
    <n v="23"/>
    <n v="300"/>
    <x v="1"/>
    <x v="4"/>
  </r>
  <r>
    <n v="84"/>
    <d v="2025-01-28T00:00:00"/>
    <x v="1"/>
    <x v="3"/>
    <n v="35"/>
    <n v="550"/>
    <x v="0"/>
    <x v="3"/>
  </r>
  <r>
    <n v="85"/>
    <d v="2025-01-29T00:00:00"/>
    <x v="2"/>
    <x v="1"/>
    <n v="31"/>
    <n v="420"/>
    <x v="2"/>
    <x v="1"/>
  </r>
  <r>
    <n v="86"/>
    <d v="2025-01-29T00:00:00"/>
    <x v="3"/>
    <x v="0"/>
    <n v="21"/>
    <n v="240"/>
    <x v="1"/>
    <x v="6"/>
  </r>
  <r>
    <n v="87"/>
    <d v="2025-01-29T00:00:00"/>
    <x v="4"/>
    <x v="4"/>
    <n v="24"/>
    <n v="310"/>
    <x v="0"/>
    <x v="8"/>
  </r>
  <r>
    <n v="88"/>
    <d v="2025-01-30T00:00:00"/>
    <x v="0"/>
    <x v="3"/>
    <n v="36"/>
    <n v="540"/>
    <x v="1"/>
    <x v="7"/>
  </r>
  <r>
    <n v="89"/>
    <d v="2025-01-30T00:00:00"/>
    <x v="1"/>
    <x v="1"/>
    <n v="33"/>
    <n v="430"/>
    <x v="0"/>
    <x v="5"/>
  </r>
  <r>
    <n v="90"/>
    <d v="2025-01-30T00:00:00"/>
    <x v="2"/>
    <x v="0"/>
    <n v="19"/>
    <n v="230"/>
    <x v="2"/>
    <x v="2"/>
  </r>
  <r>
    <n v="91"/>
    <d v="2025-01-31T00:00:00"/>
    <x v="3"/>
    <x v="4"/>
    <n v="22"/>
    <n v="290"/>
    <x v="0"/>
    <x v="4"/>
  </r>
  <r>
    <n v="92"/>
    <d v="2025-01-31T00:00:00"/>
    <x v="4"/>
    <x v="3"/>
    <n v="34"/>
    <n v="520"/>
    <x v="1"/>
    <x v="0"/>
  </r>
  <r>
    <n v="93"/>
    <d v="2025-01-31T00:00:00"/>
    <x v="0"/>
    <x v="1"/>
    <n v="31"/>
    <n v="420"/>
    <x v="0"/>
    <x v="1"/>
  </r>
  <r>
    <n v="94"/>
    <d v="2025-02-01T00:00:00"/>
    <x v="1"/>
    <x v="4"/>
    <n v="24"/>
    <n v="300"/>
    <x v="2"/>
    <x v="8"/>
  </r>
  <r>
    <n v="95"/>
    <d v="2025-02-01T00:00:00"/>
    <x v="2"/>
    <x v="0"/>
    <n v="20"/>
    <n v="250"/>
    <x v="1"/>
    <x v="6"/>
  </r>
  <r>
    <n v="96"/>
    <d v="2025-02-01T00:00:00"/>
    <x v="3"/>
    <x v="3"/>
    <n v="37"/>
    <n v="560"/>
    <x v="0"/>
    <x v="3"/>
  </r>
  <r>
    <n v="97"/>
    <d v="2025-02-02T00:00:00"/>
    <x v="4"/>
    <x v="1"/>
    <n v="29"/>
    <n v="410"/>
    <x v="1"/>
    <x v="5"/>
  </r>
  <r>
    <n v="98"/>
    <d v="2025-02-02T00:00:00"/>
    <x v="0"/>
    <x v="4"/>
    <n v="23"/>
    <n v="310"/>
    <x v="0"/>
    <x v="4"/>
  </r>
  <r>
    <n v="99"/>
    <d v="2025-02-02T00:00:00"/>
    <x v="1"/>
    <x v="2"/>
    <n v="34"/>
    <n v="480"/>
    <x v="2"/>
    <x v="9"/>
  </r>
  <r>
    <n v="100"/>
    <d v="2025-02-02T00:00:00"/>
    <x v="2"/>
    <x v="3"/>
    <n v="36"/>
    <n v="540"/>
    <x v="0"/>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7:B42" firstHeaderRow="1" firstDataRow="1" firstDataCol="1"/>
  <pivotFields count="8">
    <pivotField showAll="0"/>
    <pivotField numFmtId="14" showAll="0"/>
    <pivotField showAll="0">
      <items count="6">
        <item x="1"/>
        <item x="2"/>
        <item x="0"/>
        <item x="3"/>
        <item x="4"/>
        <item t="default"/>
      </items>
    </pivotField>
    <pivotField axis="axisRow" showAll="0">
      <items count="6">
        <item x="3"/>
        <item x="1"/>
        <item x="4"/>
        <item x="2"/>
        <item h="1" x="0"/>
        <item t="default"/>
      </items>
    </pivotField>
    <pivotField showAll="0"/>
    <pivotField showAll="0"/>
    <pivotField showAll="0">
      <items count="4">
        <item x="1"/>
        <item x="2"/>
        <item x="0"/>
        <item t="default"/>
      </items>
    </pivotField>
    <pivotField dataField="1" showAll="0">
      <items count="11">
        <item x="8"/>
        <item x="4"/>
        <item x="6"/>
        <item x="2"/>
        <item x="1"/>
        <item x="5"/>
        <item x="9"/>
        <item x="0"/>
        <item x="7"/>
        <item x="3"/>
        <item t="default"/>
      </items>
    </pivotField>
  </pivotFields>
  <rowFields count="1">
    <field x="3"/>
  </rowFields>
  <rowItems count="5">
    <i>
      <x/>
    </i>
    <i>
      <x v="1"/>
    </i>
    <i>
      <x v="2"/>
    </i>
    <i>
      <x v="3"/>
    </i>
    <i t="grand">
      <x/>
    </i>
  </rowItems>
  <colItems count="1">
    <i/>
  </colItems>
  <dataFields count="1">
    <dataField name="Max of Rating" fld="7" subtotal="max" baseField="3" baseItem="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30:B34" firstHeaderRow="1" firstDataRow="1" firstDataCol="1"/>
  <pivotFields count="8">
    <pivotField showAll="0"/>
    <pivotField numFmtId="14" showAll="0"/>
    <pivotField showAll="0">
      <items count="6">
        <item x="1"/>
        <item x="2"/>
        <item x="0"/>
        <item x="3"/>
        <item x="4"/>
        <item t="default"/>
      </items>
    </pivotField>
    <pivotField showAll="0">
      <items count="6">
        <item x="3"/>
        <item x="1"/>
        <item x="4"/>
        <item x="2"/>
        <item h="1" x="0"/>
        <item t="default"/>
      </items>
    </pivotField>
    <pivotField showAll="0"/>
    <pivotField showAll="0"/>
    <pivotField axis="axisRow" dataField="1" showAll="0">
      <items count="4">
        <item x="1"/>
        <item x="2"/>
        <item x="0"/>
        <item t="default"/>
      </items>
    </pivotField>
    <pivotField showAll="0">
      <items count="11">
        <item x="8"/>
        <item x="4"/>
        <item x="6"/>
        <item x="2"/>
        <item x="1"/>
        <item x="5"/>
        <item x="9"/>
        <item x="0"/>
        <item x="7"/>
        <item x="3"/>
        <item t="default"/>
      </items>
    </pivotField>
  </pivotFields>
  <rowFields count="1">
    <field x="6"/>
  </rowFields>
  <rowItems count="4">
    <i>
      <x/>
    </i>
    <i>
      <x v="1"/>
    </i>
    <i>
      <x v="2"/>
    </i>
    <i t="grand">
      <x/>
    </i>
  </rowItems>
  <colItems count="1">
    <i/>
  </colItems>
  <dataFields count="1">
    <dataField name="Count of Payment_Mode" fld="6" subtotal="count" baseField="0" baseItem="0"/>
  </dataFields>
  <chartFormats count="5">
    <chartFormat chart="4"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6" count="1" selected="0">
            <x v="0"/>
          </reference>
        </references>
      </pivotArea>
    </chartFormat>
    <chartFormat chart="6" format="7">
      <pivotArea type="data" outline="0" fieldPosition="0">
        <references count="2">
          <reference field="4294967294" count="1" selected="0">
            <x v="0"/>
          </reference>
          <reference field="6" count="1" selected="0">
            <x v="1"/>
          </reference>
        </references>
      </pivotArea>
    </chartFormat>
    <chartFormat chart="6"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21:B27" firstHeaderRow="1" firstDataRow="1" firstDataCol="1"/>
  <pivotFields count="8">
    <pivotField showAll="0"/>
    <pivotField numFmtId="14" showAll="0"/>
    <pivotField axis="axisRow" showAll="0">
      <items count="6">
        <item x="1"/>
        <item x="2"/>
        <item x="0"/>
        <item x="3"/>
        <item x="4"/>
        <item t="default"/>
      </items>
    </pivotField>
    <pivotField showAll="0">
      <items count="6">
        <item x="3"/>
        <item x="1"/>
        <item x="4"/>
        <item x="2"/>
        <item h="1" x="0"/>
        <item t="default"/>
      </items>
    </pivotField>
    <pivotField dataField="1" showAll="0"/>
    <pivotField showAll="0"/>
    <pivotField showAll="0">
      <items count="4">
        <item x="1"/>
        <item x="2"/>
        <item x="0"/>
        <item t="default"/>
      </items>
    </pivotField>
    <pivotField showAll="0">
      <items count="11">
        <item x="8"/>
        <item x="4"/>
        <item x="6"/>
        <item x="2"/>
        <item x="1"/>
        <item x="5"/>
        <item x="9"/>
        <item x="0"/>
        <item x="7"/>
        <item x="3"/>
        <item t="default"/>
      </items>
    </pivotField>
  </pivotFields>
  <rowFields count="1">
    <field x="2"/>
  </rowFields>
  <rowItems count="6">
    <i>
      <x/>
    </i>
    <i>
      <x v="1"/>
    </i>
    <i>
      <x v="2"/>
    </i>
    <i>
      <x v="3"/>
    </i>
    <i>
      <x v="4"/>
    </i>
    <i t="grand">
      <x/>
    </i>
  </rowItems>
  <colItems count="1">
    <i/>
  </colItems>
  <dataFields count="1">
    <dataField name="Max of Delivery_Time_Min" fld="4" subtotal="max" baseField="2" baseItem="0"/>
  </dataField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0"/>
          </reference>
        </references>
      </pivotArea>
    </chartFormat>
    <chartFormat chart="2" format="4">
      <pivotArea type="data" outline="0" fieldPosition="0">
        <references count="2">
          <reference field="4294967294" count="1" selected="0">
            <x v="0"/>
          </reference>
          <reference field="2" count="1" selected="0">
            <x v="1"/>
          </reference>
        </references>
      </pivotArea>
    </chartFormat>
    <chartFormat chart="2" format="5">
      <pivotArea type="data" outline="0" fieldPosition="0">
        <references count="2">
          <reference field="4294967294" count="1" selected="0">
            <x v="0"/>
          </reference>
          <reference field="2" count="1" selected="0">
            <x v="2"/>
          </reference>
        </references>
      </pivotArea>
    </chartFormat>
    <chartFormat chart="2" format="6">
      <pivotArea type="data" outline="0" fieldPosition="0">
        <references count="2">
          <reference field="4294967294" count="1" selected="0">
            <x v="0"/>
          </reference>
          <reference field="2" count="1" selected="0">
            <x v="3"/>
          </reference>
        </references>
      </pivotArea>
    </chartFormat>
    <chartFormat chart="2" format="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A12:B17" firstHeaderRow="1" firstDataRow="1" firstDataCol="1"/>
  <pivotFields count="8">
    <pivotField dataField="1" showAll="0"/>
    <pivotField numFmtId="14" showAll="0"/>
    <pivotField showAll="0">
      <items count="6">
        <item x="1"/>
        <item x="2"/>
        <item x="0"/>
        <item x="3"/>
        <item x="4"/>
        <item t="default"/>
      </items>
    </pivotField>
    <pivotField axis="axisRow" showAll="0">
      <items count="6">
        <item x="3"/>
        <item x="1"/>
        <item x="4"/>
        <item x="2"/>
        <item h="1" x="0"/>
        <item t="default"/>
      </items>
    </pivotField>
    <pivotField showAll="0"/>
    <pivotField showAll="0"/>
    <pivotField showAll="0">
      <items count="4">
        <item x="1"/>
        <item x="2"/>
        <item x="0"/>
        <item t="default"/>
      </items>
    </pivotField>
    <pivotField showAll="0">
      <items count="11">
        <item x="8"/>
        <item x="4"/>
        <item x="6"/>
        <item x="2"/>
        <item x="1"/>
        <item x="5"/>
        <item x="9"/>
        <item x="0"/>
        <item x="7"/>
        <item x="3"/>
        <item t="default"/>
      </items>
    </pivotField>
  </pivotFields>
  <rowFields count="1">
    <field x="3"/>
  </rowFields>
  <rowItems count="5">
    <i>
      <x/>
    </i>
    <i>
      <x v="1"/>
    </i>
    <i>
      <x v="2"/>
    </i>
    <i>
      <x v="3"/>
    </i>
    <i t="grand">
      <x/>
    </i>
  </rowItems>
  <colItems count="1">
    <i/>
  </colItems>
  <dataFields count="1">
    <dataField name="Sum of OrderID" fld="0" baseField="0"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A3:B9" firstHeaderRow="1" firstDataRow="1" firstDataCol="1"/>
  <pivotFields count="8">
    <pivotField dataField="1" showAll="0"/>
    <pivotField numFmtId="14" showAll="0"/>
    <pivotField axis="axisRow" showAll="0">
      <items count="6">
        <item x="1"/>
        <item x="2"/>
        <item x="0"/>
        <item x="3"/>
        <item x="4"/>
        <item t="default"/>
      </items>
    </pivotField>
    <pivotField showAll="0">
      <items count="6">
        <item x="3"/>
        <item x="1"/>
        <item x="4"/>
        <item x="2"/>
        <item h="1" x="0"/>
        <item t="default"/>
      </items>
    </pivotField>
    <pivotField showAll="0"/>
    <pivotField showAll="0"/>
    <pivotField showAll="0">
      <items count="4">
        <item x="1"/>
        <item x="2"/>
        <item x="0"/>
        <item t="default"/>
      </items>
    </pivotField>
    <pivotField showAll="0">
      <items count="11">
        <item x="8"/>
        <item x="4"/>
        <item x="6"/>
        <item x="2"/>
        <item x="1"/>
        <item x="5"/>
        <item x="9"/>
        <item x="0"/>
        <item x="7"/>
        <item x="3"/>
        <item t="default"/>
      </items>
    </pivotField>
  </pivotFields>
  <rowFields count="1">
    <field x="2"/>
  </rowFields>
  <rowItems count="6">
    <i>
      <x/>
    </i>
    <i>
      <x v="1"/>
    </i>
    <i>
      <x v="2"/>
    </i>
    <i>
      <x v="3"/>
    </i>
    <i>
      <x v="4"/>
    </i>
    <i t="grand">
      <x/>
    </i>
  </rowItems>
  <colItems count="1">
    <i/>
  </colItems>
  <dataFields count="1">
    <dataField name="Sum of OrderID" fld="0" baseField="0" baseItem="0"/>
  </dataFields>
  <chartFormats count="7">
    <chartFormat chart="0" format="0"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2" count="1" selected="0">
            <x v="0"/>
          </reference>
        </references>
      </pivotArea>
    </chartFormat>
    <chartFormat chart="9" format="9">
      <pivotArea type="data" outline="0" fieldPosition="0">
        <references count="2">
          <reference field="4294967294" count="1" selected="0">
            <x v="0"/>
          </reference>
          <reference field="2" count="1" selected="0">
            <x v="1"/>
          </reference>
        </references>
      </pivotArea>
    </chartFormat>
    <chartFormat chart="9" format="10">
      <pivotArea type="data" outline="0" fieldPosition="0">
        <references count="2">
          <reference field="4294967294" count="1" selected="0">
            <x v="0"/>
          </reference>
          <reference field="2" count="1" selected="0">
            <x v="2"/>
          </reference>
        </references>
      </pivotArea>
    </chartFormat>
    <chartFormat chart="9" format="11">
      <pivotArea type="data" outline="0" fieldPosition="0">
        <references count="2">
          <reference field="4294967294" count="1" selected="0">
            <x v="0"/>
          </reference>
          <reference field="2" count="1" selected="0">
            <x v="3"/>
          </reference>
        </references>
      </pivotArea>
    </chartFormat>
    <chartFormat chart="9"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uisine" sourceName="Cuisine">
  <pivotTables>
    <pivotTable tabId="2" name="PivotTable1"/>
    <pivotTable tabId="2" name="PivotTable2"/>
    <pivotTable tabId="2" name="PivotTable3"/>
    <pivotTable tabId="2" name="PivotTable4"/>
    <pivotTable tabId="2" name="PivotTable5"/>
  </pivotTables>
  <data>
    <tabular pivotCacheId="1">
      <items count="5">
        <i x="3" s="1"/>
        <i x="1" s="1"/>
        <i x="4" s="1"/>
        <i x="2"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2" name="PivotTable2"/>
    <pivotTable tabId="2" name="PivotTable1"/>
    <pivotTable tabId="2" name="PivotTable3"/>
    <pivotTable tabId="2" name="PivotTable4"/>
    <pivotTable tabId="2" name="PivotTable5"/>
  </pivotTables>
  <data>
    <tabular pivotCacheId="1">
      <items count="5">
        <i x="1" s="1"/>
        <i x="2" s="1"/>
        <i x="0"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yment_Mode" sourceName="Payment_Mode">
  <pivotTables>
    <pivotTable tabId="2" name="PivotTable1"/>
    <pivotTable tabId="2" name="PivotTable2"/>
    <pivotTable tabId="2" name="PivotTable3"/>
    <pivotTable tabId="2" name="PivotTable4"/>
    <pivotTable tabId="2" name="PivotTable5"/>
  </pivotTables>
  <data>
    <tabular pivotCacheId="1">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ating" sourceName="Rating">
  <pivotTables>
    <pivotTable tabId="2" name="PivotTable2"/>
    <pivotTable tabId="2" name="PivotTable1"/>
    <pivotTable tabId="2" name="PivotTable3"/>
    <pivotTable tabId="2" name="PivotTable4"/>
    <pivotTable tabId="2" name="PivotTable5"/>
  </pivotTables>
  <data>
    <tabular pivotCacheId="1">
      <items count="10">
        <i x="8" s="1"/>
        <i x="4" s="1"/>
        <i x="2" s="1"/>
        <i x="1" s="1"/>
        <i x="5" s="1"/>
        <i x="9" s="1"/>
        <i x="0" s="1"/>
        <i x="7" s="1"/>
        <i x="3"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uisine" cache="Slicer_Cuisine" caption="Cuisine" style="SlicerStyleLight6" rowHeight="241300"/>
  <slicer name="City" cache="Slicer_City" caption="City" columnCount="5" style="SlicerStyleLight6" rowHeight="241300"/>
  <slicer name="Payment_Mode" cache="Slicer_Payment_Mode" caption="Payment_Mode" style="SlicerStyleLight6" rowHeight="241300"/>
  <slicer name="Rating" cache="Slicer_Rating" caption="Rating" columnCount="5"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uisine 1" cache="Slicer_Cuisine" caption="Cuisine" style="SlicerStyleDark3" rowHeight="241300"/>
  <slicer name="City 1" cache="Slicer_City" caption="City" style="SlicerStyleDark3" rowHeight="241300"/>
  <slicer name="Payment_Mode 1" cache="Slicer_Payment_Mode" caption="Payment_Mode" columnCount="3" style="SlicerStyleDark3" rowHeight="241300"/>
  <slicer name="Rating 1" cache="Slicer_Rating" caption="Rating" columnCount="5" style="SlicerStyleDark3" rowHeight="241300"/>
</slicers>
</file>

<file path=xl/tables/table1.xml><?xml version="1.0" encoding="utf-8"?>
<table xmlns="http://schemas.openxmlformats.org/spreadsheetml/2006/main" id="1" name="Table1" displayName="Table1" ref="A1:H101" totalsRowShown="0">
  <autoFilter ref="A1:H101"/>
  <tableColumns count="8">
    <tableColumn id="1" name="OrderID"/>
    <tableColumn id="2" name="Date" dataDxfId="0"/>
    <tableColumn id="3" name="City"/>
    <tableColumn id="4" name="Cuisine"/>
    <tableColumn id="5" name="Delivery_Time_Min"/>
    <tableColumn id="6" name="Order_Value"/>
    <tableColumn id="7" name="Payment_Mode"/>
    <tableColumn id="8" name="Rating"/>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topLeftCell="A2" workbookViewId="0">
      <selection sqref="A1:H101"/>
    </sheetView>
  </sheetViews>
  <sheetFormatPr defaultRowHeight="15" x14ac:dyDescent="0.25"/>
  <cols>
    <col min="1" max="1" width="10.140625" customWidth="1"/>
    <col min="2" max="2" width="10.42578125" bestFit="1" customWidth="1"/>
    <col min="3" max="3" width="11.42578125" bestFit="1" customWidth="1"/>
    <col min="4" max="4" width="12.140625" bestFit="1" customWidth="1"/>
    <col min="5" max="5" width="20.42578125" customWidth="1"/>
    <col min="6" max="6" width="14.42578125" customWidth="1"/>
    <col min="7" max="7" width="17.140625" customWidth="1"/>
    <col min="8" max="8" width="11.28515625" customWidth="1"/>
  </cols>
  <sheetData>
    <row r="1" spans="1:8" x14ac:dyDescent="0.25">
      <c r="A1" t="s">
        <v>0</v>
      </c>
      <c r="B1" t="s">
        <v>1</v>
      </c>
      <c r="C1" t="s">
        <v>2</v>
      </c>
      <c r="D1" t="s">
        <v>3</v>
      </c>
      <c r="E1" t="s">
        <v>4</v>
      </c>
      <c r="F1" t="s">
        <v>5</v>
      </c>
      <c r="G1" t="s">
        <v>6</v>
      </c>
      <c r="H1" t="s">
        <v>7</v>
      </c>
    </row>
    <row r="2" spans="1:8" x14ac:dyDescent="0.25">
      <c r="A2">
        <v>1</v>
      </c>
      <c r="B2" s="1">
        <v>45658</v>
      </c>
      <c r="C2" t="s">
        <v>8</v>
      </c>
      <c r="D2" t="s">
        <v>9</v>
      </c>
      <c r="E2">
        <v>28</v>
      </c>
      <c r="F2">
        <v>320</v>
      </c>
      <c r="G2" t="s">
        <v>10</v>
      </c>
      <c r="H2">
        <v>4.5</v>
      </c>
    </row>
    <row r="3" spans="1:8" x14ac:dyDescent="0.25">
      <c r="A3">
        <v>2</v>
      </c>
      <c r="B3" s="1">
        <v>45658</v>
      </c>
      <c r="C3" t="s">
        <v>11</v>
      </c>
      <c r="D3" t="s">
        <v>12</v>
      </c>
      <c r="E3">
        <v>35</v>
      </c>
      <c r="F3">
        <v>450</v>
      </c>
      <c r="G3" t="s">
        <v>13</v>
      </c>
      <c r="H3">
        <v>4.2</v>
      </c>
    </row>
    <row r="4" spans="1:8" x14ac:dyDescent="0.25">
      <c r="A4">
        <v>3</v>
      </c>
      <c r="B4" s="1">
        <v>45658</v>
      </c>
      <c r="C4" t="s">
        <v>14</v>
      </c>
      <c r="D4" t="s">
        <v>15</v>
      </c>
      <c r="E4">
        <v>30</v>
      </c>
      <c r="F4">
        <v>380</v>
      </c>
      <c r="G4" t="s">
        <v>16</v>
      </c>
      <c r="H4">
        <v>4.0999999999999996</v>
      </c>
    </row>
    <row r="5" spans="1:8" x14ac:dyDescent="0.25">
      <c r="A5">
        <v>4</v>
      </c>
      <c r="B5" s="1">
        <v>45659</v>
      </c>
      <c r="C5" t="s">
        <v>8</v>
      </c>
      <c r="D5" t="s">
        <v>17</v>
      </c>
      <c r="E5">
        <v>25</v>
      </c>
      <c r="F5">
        <v>520</v>
      </c>
      <c r="G5" t="s">
        <v>10</v>
      </c>
      <c r="H5">
        <v>4.7</v>
      </c>
    </row>
    <row r="6" spans="1:8" x14ac:dyDescent="0.25">
      <c r="A6">
        <v>5</v>
      </c>
      <c r="B6" s="1">
        <v>45659</v>
      </c>
      <c r="C6" t="s">
        <v>11</v>
      </c>
      <c r="D6" t="s">
        <v>18</v>
      </c>
      <c r="E6">
        <v>22</v>
      </c>
      <c r="F6">
        <v>290</v>
      </c>
      <c r="G6" t="s">
        <v>13</v>
      </c>
      <c r="H6">
        <v>3.9</v>
      </c>
    </row>
    <row r="7" spans="1:8" x14ac:dyDescent="0.25">
      <c r="A7">
        <v>6</v>
      </c>
      <c r="B7" s="1">
        <v>45659</v>
      </c>
      <c r="C7" t="s">
        <v>19</v>
      </c>
      <c r="D7" t="s">
        <v>12</v>
      </c>
      <c r="E7">
        <v>33</v>
      </c>
      <c r="F7">
        <v>410</v>
      </c>
      <c r="G7" t="s">
        <v>10</v>
      </c>
      <c r="H7">
        <v>4.3</v>
      </c>
    </row>
    <row r="8" spans="1:8" x14ac:dyDescent="0.25">
      <c r="A8">
        <v>7</v>
      </c>
      <c r="B8" s="1">
        <v>45660</v>
      </c>
      <c r="C8" t="s">
        <v>20</v>
      </c>
      <c r="D8" t="s">
        <v>9</v>
      </c>
      <c r="E8">
        <v>20</v>
      </c>
      <c r="F8">
        <v>260</v>
      </c>
      <c r="G8" t="s">
        <v>16</v>
      </c>
      <c r="H8">
        <v>4</v>
      </c>
    </row>
    <row r="9" spans="1:8" x14ac:dyDescent="0.25">
      <c r="A9">
        <v>8</v>
      </c>
      <c r="B9" s="1">
        <v>45660</v>
      </c>
      <c r="C9" t="s">
        <v>11</v>
      </c>
      <c r="D9" t="s">
        <v>17</v>
      </c>
      <c r="E9">
        <v>38</v>
      </c>
      <c r="F9">
        <v>550</v>
      </c>
      <c r="G9" t="s">
        <v>13</v>
      </c>
      <c r="H9">
        <v>4.5999999999999996</v>
      </c>
    </row>
    <row r="10" spans="1:8" x14ac:dyDescent="0.25">
      <c r="A10">
        <v>9</v>
      </c>
      <c r="B10" s="1">
        <v>45660</v>
      </c>
      <c r="C10" t="s">
        <v>8</v>
      </c>
      <c r="D10" t="s">
        <v>18</v>
      </c>
      <c r="E10">
        <v>24</v>
      </c>
      <c r="F10">
        <v>300</v>
      </c>
      <c r="G10" t="s">
        <v>10</v>
      </c>
      <c r="H10">
        <v>3.8</v>
      </c>
    </row>
    <row r="11" spans="1:8" x14ac:dyDescent="0.25">
      <c r="A11">
        <v>10</v>
      </c>
      <c r="B11" s="1">
        <v>45661</v>
      </c>
      <c r="C11" t="s">
        <v>14</v>
      </c>
      <c r="D11" t="s">
        <v>12</v>
      </c>
      <c r="E11">
        <v>29</v>
      </c>
      <c r="F11">
        <v>420</v>
      </c>
      <c r="G11" t="s">
        <v>13</v>
      </c>
      <c r="H11">
        <v>4.4000000000000004</v>
      </c>
    </row>
    <row r="12" spans="1:8" x14ac:dyDescent="0.25">
      <c r="A12">
        <v>11</v>
      </c>
      <c r="B12" s="1">
        <v>45661</v>
      </c>
      <c r="C12" t="s">
        <v>19</v>
      </c>
      <c r="D12" t="s">
        <v>9</v>
      </c>
      <c r="E12">
        <v>21</v>
      </c>
      <c r="F12">
        <v>240</v>
      </c>
      <c r="G12" t="s">
        <v>10</v>
      </c>
      <c r="H12">
        <v>4.0999999999999996</v>
      </c>
    </row>
    <row r="13" spans="1:8" x14ac:dyDescent="0.25">
      <c r="A13">
        <v>12</v>
      </c>
      <c r="B13" s="1">
        <v>45661</v>
      </c>
      <c r="C13" t="s">
        <v>20</v>
      </c>
      <c r="D13" t="s">
        <v>17</v>
      </c>
      <c r="E13">
        <v>34</v>
      </c>
      <c r="F13">
        <v>510</v>
      </c>
      <c r="G13" t="s">
        <v>16</v>
      </c>
      <c r="H13">
        <v>4.5</v>
      </c>
    </row>
    <row r="14" spans="1:8" x14ac:dyDescent="0.25">
      <c r="A14">
        <v>13</v>
      </c>
      <c r="B14" s="1">
        <v>45662</v>
      </c>
      <c r="C14" t="s">
        <v>8</v>
      </c>
      <c r="D14" t="s">
        <v>18</v>
      </c>
      <c r="E14">
        <v>23</v>
      </c>
      <c r="F14">
        <v>310</v>
      </c>
      <c r="G14" t="s">
        <v>10</v>
      </c>
      <c r="H14">
        <v>3.9</v>
      </c>
    </row>
    <row r="15" spans="1:8" x14ac:dyDescent="0.25">
      <c r="A15">
        <v>14</v>
      </c>
      <c r="B15" s="1">
        <v>45662</v>
      </c>
      <c r="C15" t="s">
        <v>11</v>
      </c>
      <c r="D15" t="s">
        <v>15</v>
      </c>
      <c r="E15">
        <v>37</v>
      </c>
      <c r="F15">
        <v>480</v>
      </c>
      <c r="G15" t="s">
        <v>13</v>
      </c>
      <c r="H15">
        <v>4.3</v>
      </c>
    </row>
    <row r="16" spans="1:8" x14ac:dyDescent="0.25">
      <c r="A16">
        <v>15</v>
      </c>
      <c r="B16" s="1">
        <v>45662</v>
      </c>
      <c r="C16" t="s">
        <v>14</v>
      </c>
      <c r="D16" t="s">
        <v>12</v>
      </c>
      <c r="E16">
        <v>31</v>
      </c>
      <c r="F16">
        <v>400</v>
      </c>
      <c r="G16" t="s">
        <v>10</v>
      </c>
      <c r="H16">
        <v>4.2</v>
      </c>
    </row>
    <row r="17" spans="1:8" x14ac:dyDescent="0.25">
      <c r="A17">
        <v>16</v>
      </c>
      <c r="B17" s="1">
        <v>45663</v>
      </c>
      <c r="C17" t="s">
        <v>19</v>
      </c>
      <c r="D17" t="s">
        <v>17</v>
      </c>
      <c r="E17">
        <v>27</v>
      </c>
      <c r="F17">
        <v>530</v>
      </c>
      <c r="G17" t="s">
        <v>16</v>
      </c>
      <c r="H17">
        <v>4.5999999999999996</v>
      </c>
    </row>
    <row r="18" spans="1:8" x14ac:dyDescent="0.25">
      <c r="A18">
        <v>17</v>
      </c>
      <c r="B18" s="1">
        <v>45663</v>
      </c>
      <c r="C18" t="s">
        <v>20</v>
      </c>
      <c r="D18" t="s">
        <v>9</v>
      </c>
      <c r="E18">
        <v>19</v>
      </c>
      <c r="F18">
        <v>230</v>
      </c>
      <c r="G18" t="s">
        <v>10</v>
      </c>
      <c r="H18">
        <v>4</v>
      </c>
    </row>
    <row r="19" spans="1:8" x14ac:dyDescent="0.25">
      <c r="A19">
        <v>18</v>
      </c>
      <c r="B19" s="1">
        <v>45663</v>
      </c>
      <c r="C19" t="s">
        <v>8</v>
      </c>
      <c r="D19" t="s">
        <v>12</v>
      </c>
      <c r="E19">
        <v>32</v>
      </c>
      <c r="F19">
        <v>410</v>
      </c>
      <c r="G19" t="s">
        <v>13</v>
      </c>
      <c r="H19">
        <v>4.2</v>
      </c>
    </row>
    <row r="20" spans="1:8" x14ac:dyDescent="0.25">
      <c r="A20">
        <v>19</v>
      </c>
      <c r="B20" s="1">
        <v>45664</v>
      </c>
      <c r="C20" t="s">
        <v>11</v>
      </c>
      <c r="D20" t="s">
        <v>18</v>
      </c>
      <c r="E20">
        <v>26</v>
      </c>
      <c r="F20">
        <v>300</v>
      </c>
      <c r="G20" t="s">
        <v>10</v>
      </c>
      <c r="H20">
        <v>3.8</v>
      </c>
    </row>
    <row r="21" spans="1:8" x14ac:dyDescent="0.25">
      <c r="A21">
        <v>20</v>
      </c>
      <c r="B21" s="1">
        <v>45664</v>
      </c>
      <c r="C21" t="s">
        <v>14</v>
      </c>
      <c r="D21" t="s">
        <v>17</v>
      </c>
      <c r="E21">
        <v>36</v>
      </c>
      <c r="F21">
        <v>560</v>
      </c>
      <c r="G21" t="s">
        <v>13</v>
      </c>
      <c r="H21">
        <v>4.7</v>
      </c>
    </row>
    <row r="22" spans="1:8" x14ac:dyDescent="0.25">
      <c r="A22">
        <v>21</v>
      </c>
      <c r="B22" s="1">
        <v>45664</v>
      </c>
      <c r="C22" t="s">
        <v>19</v>
      </c>
      <c r="D22" t="s">
        <v>15</v>
      </c>
      <c r="E22">
        <v>30</v>
      </c>
      <c r="F22">
        <v>390</v>
      </c>
      <c r="G22" t="s">
        <v>16</v>
      </c>
      <c r="H22">
        <v>4.0999999999999996</v>
      </c>
    </row>
    <row r="23" spans="1:8" x14ac:dyDescent="0.25">
      <c r="A23">
        <v>22</v>
      </c>
      <c r="B23" s="1">
        <v>45665</v>
      </c>
      <c r="C23" t="s">
        <v>20</v>
      </c>
      <c r="D23" t="s">
        <v>12</v>
      </c>
      <c r="E23">
        <v>28</v>
      </c>
      <c r="F23">
        <v>420</v>
      </c>
      <c r="G23" t="s">
        <v>10</v>
      </c>
      <c r="H23">
        <v>4.3</v>
      </c>
    </row>
    <row r="24" spans="1:8" x14ac:dyDescent="0.25">
      <c r="A24">
        <v>23</v>
      </c>
      <c r="B24" s="1">
        <v>45665</v>
      </c>
      <c r="C24" t="s">
        <v>8</v>
      </c>
      <c r="D24" t="s">
        <v>17</v>
      </c>
      <c r="E24">
        <v>25</v>
      </c>
      <c r="F24">
        <v>540</v>
      </c>
      <c r="G24" t="s">
        <v>13</v>
      </c>
      <c r="H24">
        <v>4.5999999999999996</v>
      </c>
    </row>
    <row r="25" spans="1:8" x14ac:dyDescent="0.25">
      <c r="A25">
        <v>24</v>
      </c>
      <c r="B25" s="1">
        <v>45665</v>
      </c>
      <c r="C25" t="s">
        <v>11</v>
      </c>
      <c r="D25" t="s">
        <v>9</v>
      </c>
      <c r="E25">
        <v>20</v>
      </c>
      <c r="F25">
        <v>250</v>
      </c>
      <c r="G25" t="s">
        <v>16</v>
      </c>
      <c r="H25">
        <v>4</v>
      </c>
    </row>
    <row r="26" spans="1:8" x14ac:dyDescent="0.25">
      <c r="A26">
        <v>25</v>
      </c>
      <c r="B26" s="1">
        <v>45666</v>
      </c>
      <c r="C26" t="s">
        <v>14</v>
      </c>
      <c r="D26" t="s">
        <v>18</v>
      </c>
      <c r="E26">
        <v>24</v>
      </c>
      <c r="F26">
        <v>310</v>
      </c>
      <c r="G26" t="s">
        <v>10</v>
      </c>
      <c r="H26">
        <v>3.9</v>
      </c>
    </row>
    <row r="27" spans="1:8" x14ac:dyDescent="0.25">
      <c r="A27">
        <v>26</v>
      </c>
      <c r="B27" s="1">
        <v>45666</v>
      </c>
      <c r="C27" t="s">
        <v>19</v>
      </c>
      <c r="D27" t="s">
        <v>12</v>
      </c>
      <c r="E27">
        <v>34</v>
      </c>
      <c r="F27">
        <v>430</v>
      </c>
      <c r="G27" t="s">
        <v>13</v>
      </c>
      <c r="H27">
        <v>4.2</v>
      </c>
    </row>
    <row r="28" spans="1:8" x14ac:dyDescent="0.25">
      <c r="A28">
        <v>27</v>
      </c>
      <c r="B28" s="1">
        <v>45666</v>
      </c>
      <c r="C28" t="s">
        <v>20</v>
      </c>
      <c r="D28" t="s">
        <v>17</v>
      </c>
      <c r="E28">
        <v>37</v>
      </c>
      <c r="F28">
        <v>560</v>
      </c>
      <c r="G28" t="s">
        <v>16</v>
      </c>
      <c r="H28">
        <v>4.5</v>
      </c>
    </row>
    <row r="29" spans="1:8" x14ac:dyDescent="0.25">
      <c r="A29">
        <v>28</v>
      </c>
      <c r="B29" s="1">
        <v>45667</v>
      </c>
      <c r="C29" t="s">
        <v>8</v>
      </c>
      <c r="D29" t="s">
        <v>9</v>
      </c>
      <c r="E29">
        <v>21</v>
      </c>
      <c r="F29">
        <v>260</v>
      </c>
      <c r="G29" t="s">
        <v>10</v>
      </c>
      <c r="H29">
        <v>4.0999999999999996</v>
      </c>
    </row>
    <row r="30" spans="1:8" x14ac:dyDescent="0.25">
      <c r="A30">
        <v>29</v>
      </c>
      <c r="B30" s="1">
        <v>45667</v>
      </c>
      <c r="C30" t="s">
        <v>11</v>
      </c>
      <c r="D30" t="s">
        <v>12</v>
      </c>
      <c r="E30">
        <v>33</v>
      </c>
      <c r="F30">
        <v>440</v>
      </c>
      <c r="G30" t="s">
        <v>13</v>
      </c>
      <c r="H30">
        <v>4.4000000000000004</v>
      </c>
    </row>
    <row r="31" spans="1:8" x14ac:dyDescent="0.25">
      <c r="A31">
        <v>30</v>
      </c>
      <c r="B31" s="1">
        <v>45667</v>
      </c>
      <c r="C31" t="s">
        <v>14</v>
      </c>
      <c r="D31" t="s">
        <v>18</v>
      </c>
      <c r="E31">
        <v>23</v>
      </c>
      <c r="F31">
        <v>300</v>
      </c>
      <c r="G31" t="s">
        <v>10</v>
      </c>
      <c r="H31">
        <v>3.8</v>
      </c>
    </row>
    <row r="32" spans="1:8" x14ac:dyDescent="0.25">
      <c r="A32">
        <v>31</v>
      </c>
      <c r="B32" s="1">
        <v>45668</v>
      </c>
      <c r="C32" t="s">
        <v>19</v>
      </c>
      <c r="D32" t="s">
        <v>17</v>
      </c>
      <c r="E32">
        <v>35</v>
      </c>
      <c r="F32">
        <v>520</v>
      </c>
      <c r="G32" t="s">
        <v>16</v>
      </c>
      <c r="H32">
        <v>4.5999999999999996</v>
      </c>
    </row>
    <row r="33" spans="1:8" x14ac:dyDescent="0.25">
      <c r="A33">
        <v>32</v>
      </c>
      <c r="B33" s="1">
        <v>45668</v>
      </c>
      <c r="C33" t="s">
        <v>20</v>
      </c>
      <c r="D33" t="s">
        <v>15</v>
      </c>
      <c r="E33">
        <v>29</v>
      </c>
      <c r="F33">
        <v>410</v>
      </c>
      <c r="G33" t="s">
        <v>10</v>
      </c>
      <c r="H33">
        <v>4.2</v>
      </c>
    </row>
    <row r="34" spans="1:8" x14ac:dyDescent="0.25">
      <c r="A34">
        <v>33</v>
      </c>
      <c r="B34" s="1">
        <v>45668</v>
      </c>
      <c r="C34" t="s">
        <v>8</v>
      </c>
      <c r="D34" t="s">
        <v>12</v>
      </c>
      <c r="E34">
        <v>31</v>
      </c>
      <c r="F34">
        <v>420</v>
      </c>
      <c r="G34" t="s">
        <v>13</v>
      </c>
      <c r="H34">
        <v>4.3</v>
      </c>
    </row>
    <row r="35" spans="1:8" x14ac:dyDescent="0.25">
      <c r="A35">
        <v>34</v>
      </c>
      <c r="B35" s="1">
        <v>45669</v>
      </c>
      <c r="C35" t="s">
        <v>11</v>
      </c>
      <c r="D35" t="s">
        <v>18</v>
      </c>
      <c r="E35">
        <v>22</v>
      </c>
      <c r="F35">
        <v>290</v>
      </c>
      <c r="G35" t="s">
        <v>10</v>
      </c>
      <c r="H35">
        <v>3.9</v>
      </c>
    </row>
    <row r="36" spans="1:8" x14ac:dyDescent="0.25">
      <c r="A36">
        <v>35</v>
      </c>
      <c r="B36" s="1">
        <v>45669</v>
      </c>
      <c r="C36" t="s">
        <v>14</v>
      </c>
      <c r="D36" t="s">
        <v>9</v>
      </c>
      <c r="E36">
        <v>19</v>
      </c>
      <c r="F36">
        <v>240</v>
      </c>
      <c r="G36" t="s">
        <v>16</v>
      </c>
      <c r="H36">
        <v>4</v>
      </c>
    </row>
    <row r="37" spans="1:8" x14ac:dyDescent="0.25">
      <c r="A37">
        <v>36</v>
      </c>
      <c r="B37" s="1">
        <v>45669</v>
      </c>
      <c r="C37" t="s">
        <v>19</v>
      </c>
      <c r="D37" t="s">
        <v>17</v>
      </c>
      <c r="E37">
        <v>36</v>
      </c>
      <c r="F37">
        <v>540</v>
      </c>
      <c r="G37" t="s">
        <v>13</v>
      </c>
      <c r="H37">
        <v>4.7</v>
      </c>
    </row>
    <row r="38" spans="1:8" x14ac:dyDescent="0.25">
      <c r="A38">
        <v>37</v>
      </c>
      <c r="B38" s="1">
        <v>45670</v>
      </c>
      <c r="C38" t="s">
        <v>20</v>
      </c>
      <c r="D38" t="s">
        <v>12</v>
      </c>
      <c r="E38">
        <v>30</v>
      </c>
      <c r="F38">
        <v>410</v>
      </c>
      <c r="G38" t="s">
        <v>10</v>
      </c>
      <c r="H38">
        <v>4.2</v>
      </c>
    </row>
    <row r="39" spans="1:8" x14ac:dyDescent="0.25">
      <c r="A39">
        <v>38</v>
      </c>
      <c r="B39" s="1">
        <v>45670</v>
      </c>
      <c r="C39" t="s">
        <v>8</v>
      </c>
      <c r="D39" t="s">
        <v>18</v>
      </c>
      <c r="E39">
        <v>24</v>
      </c>
      <c r="F39">
        <v>310</v>
      </c>
      <c r="G39" t="s">
        <v>13</v>
      </c>
      <c r="H39">
        <v>3.8</v>
      </c>
    </row>
    <row r="40" spans="1:8" x14ac:dyDescent="0.25">
      <c r="A40">
        <v>39</v>
      </c>
      <c r="B40" s="1">
        <v>45670</v>
      </c>
      <c r="C40" t="s">
        <v>11</v>
      </c>
      <c r="D40" t="s">
        <v>15</v>
      </c>
      <c r="E40">
        <v>34</v>
      </c>
      <c r="F40">
        <v>480</v>
      </c>
      <c r="G40" t="s">
        <v>10</v>
      </c>
      <c r="H40">
        <v>4.4000000000000004</v>
      </c>
    </row>
    <row r="41" spans="1:8" x14ac:dyDescent="0.25">
      <c r="A41">
        <v>40</v>
      </c>
      <c r="B41" s="1">
        <v>45671</v>
      </c>
      <c r="C41" t="s">
        <v>14</v>
      </c>
      <c r="D41" t="s">
        <v>17</v>
      </c>
      <c r="E41">
        <v>37</v>
      </c>
      <c r="F41">
        <v>560</v>
      </c>
      <c r="G41" t="s">
        <v>16</v>
      </c>
      <c r="H41">
        <v>4.5999999999999996</v>
      </c>
    </row>
    <row r="42" spans="1:8" x14ac:dyDescent="0.25">
      <c r="A42">
        <v>41</v>
      </c>
      <c r="B42" s="1">
        <v>45671</v>
      </c>
      <c r="C42" t="s">
        <v>19</v>
      </c>
      <c r="D42" t="s">
        <v>12</v>
      </c>
      <c r="E42">
        <v>32</v>
      </c>
      <c r="F42">
        <v>420</v>
      </c>
      <c r="G42" t="s">
        <v>10</v>
      </c>
      <c r="H42">
        <v>4.3</v>
      </c>
    </row>
    <row r="43" spans="1:8" x14ac:dyDescent="0.25">
      <c r="A43">
        <v>42</v>
      </c>
      <c r="B43" s="1">
        <v>45671</v>
      </c>
      <c r="C43" t="s">
        <v>20</v>
      </c>
      <c r="D43" t="s">
        <v>9</v>
      </c>
      <c r="E43">
        <v>20</v>
      </c>
      <c r="F43">
        <v>250</v>
      </c>
      <c r="G43" t="s">
        <v>13</v>
      </c>
      <c r="H43">
        <v>4.0999999999999996</v>
      </c>
    </row>
    <row r="44" spans="1:8" x14ac:dyDescent="0.25">
      <c r="A44">
        <v>43</v>
      </c>
      <c r="B44" s="1">
        <v>45672</v>
      </c>
      <c r="C44" t="s">
        <v>8</v>
      </c>
      <c r="D44" t="s">
        <v>18</v>
      </c>
      <c r="E44">
        <v>23</v>
      </c>
      <c r="F44">
        <v>300</v>
      </c>
      <c r="G44" t="s">
        <v>10</v>
      </c>
      <c r="H44">
        <v>3.9</v>
      </c>
    </row>
    <row r="45" spans="1:8" x14ac:dyDescent="0.25">
      <c r="A45">
        <v>44</v>
      </c>
      <c r="B45" s="1">
        <v>45672</v>
      </c>
      <c r="C45" t="s">
        <v>11</v>
      </c>
      <c r="D45" t="s">
        <v>17</v>
      </c>
      <c r="E45">
        <v>35</v>
      </c>
      <c r="F45">
        <v>550</v>
      </c>
      <c r="G45" t="s">
        <v>13</v>
      </c>
      <c r="H45">
        <v>4.7</v>
      </c>
    </row>
    <row r="46" spans="1:8" x14ac:dyDescent="0.25">
      <c r="A46">
        <v>45</v>
      </c>
      <c r="B46" s="1">
        <v>45672</v>
      </c>
      <c r="C46" t="s">
        <v>14</v>
      </c>
      <c r="D46" t="s">
        <v>12</v>
      </c>
      <c r="E46">
        <v>31</v>
      </c>
      <c r="F46">
        <v>420</v>
      </c>
      <c r="G46" t="s">
        <v>16</v>
      </c>
      <c r="H46">
        <v>4.2</v>
      </c>
    </row>
    <row r="47" spans="1:8" x14ac:dyDescent="0.25">
      <c r="A47">
        <v>46</v>
      </c>
      <c r="B47" s="1">
        <v>45673</v>
      </c>
      <c r="C47" t="s">
        <v>19</v>
      </c>
      <c r="D47" t="s">
        <v>9</v>
      </c>
      <c r="E47">
        <v>21</v>
      </c>
      <c r="F47">
        <v>240</v>
      </c>
      <c r="G47" t="s">
        <v>10</v>
      </c>
      <c r="H47">
        <v>4</v>
      </c>
    </row>
    <row r="48" spans="1:8" x14ac:dyDescent="0.25">
      <c r="A48">
        <v>47</v>
      </c>
      <c r="B48" s="1">
        <v>45673</v>
      </c>
      <c r="C48" t="s">
        <v>20</v>
      </c>
      <c r="D48" t="s">
        <v>18</v>
      </c>
      <c r="E48">
        <v>24</v>
      </c>
      <c r="F48">
        <v>310</v>
      </c>
      <c r="G48" t="s">
        <v>13</v>
      </c>
      <c r="H48">
        <v>3.8</v>
      </c>
    </row>
    <row r="49" spans="1:8" x14ac:dyDescent="0.25">
      <c r="A49">
        <v>48</v>
      </c>
      <c r="B49" s="1">
        <v>45673</v>
      </c>
      <c r="C49" t="s">
        <v>8</v>
      </c>
      <c r="D49" t="s">
        <v>17</v>
      </c>
      <c r="E49">
        <v>36</v>
      </c>
      <c r="F49">
        <v>540</v>
      </c>
      <c r="G49" t="s">
        <v>10</v>
      </c>
      <c r="H49">
        <v>4.5999999999999996</v>
      </c>
    </row>
    <row r="50" spans="1:8" x14ac:dyDescent="0.25">
      <c r="A50">
        <v>49</v>
      </c>
      <c r="B50" s="1">
        <v>45674</v>
      </c>
      <c r="C50" t="s">
        <v>11</v>
      </c>
      <c r="D50" t="s">
        <v>12</v>
      </c>
      <c r="E50">
        <v>33</v>
      </c>
      <c r="F50">
        <v>430</v>
      </c>
      <c r="G50" t="s">
        <v>16</v>
      </c>
      <c r="H50">
        <v>4.3</v>
      </c>
    </row>
    <row r="51" spans="1:8" x14ac:dyDescent="0.25">
      <c r="A51">
        <v>50</v>
      </c>
      <c r="B51" s="1">
        <v>45674</v>
      </c>
      <c r="C51" t="s">
        <v>14</v>
      </c>
      <c r="D51" t="s">
        <v>9</v>
      </c>
      <c r="E51">
        <v>19</v>
      </c>
      <c r="F51">
        <v>230</v>
      </c>
      <c r="G51" t="s">
        <v>10</v>
      </c>
      <c r="H51">
        <v>4.0999999999999996</v>
      </c>
    </row>
    <row r="52" spans="1:8" x14ac:dyDescent="0.25">
      <c r="A52">
        <v>51</v>
      </c>
      <c r="B52" s="1">
        <v>45674</v>
      </c>
      <c r="C52" t="s">
        <v>19</v>
      </c>
      <c r="D52" t="s">
        <v>18</v>
      </c>
      <c r="E52">
        <v>22</v>
      </c>
      <c r="F52">
        <v>290</v>
      </c>
      <c r="G52" t="s">
        <v>13</v>
      </c>
      <c r="H52">
        <v>3.9</v>
      </c>
    </row>
    <row r="53" spans="1:8" x14ac:dyDescent="0.25">
      <c r="A53">
        <v>52</v>
      </c>
      <c r="B53" s="1">
        <v>45675</v>
      </c>
      <c r="C53" t="s">
        <v>20</v>
      </c>
      <c r="D53" t="s">
        <v>17</v>
      </c>
      <c r="E53">
        <v>34</v>
      </c>
      <c r="F53">
        <v>520</v>
      </c>
      <c r="G53" t="s">
        <v>10</v>
      </c>
      <c r="H53">
        <v>4.5</v>
      </c>
    </row>
    <row r="54" spans="1:8" x14ac:dyDescent="0.25">
      <c r="A54">
        <v>53</v>
      </c>
      <c r="B54" s="1">
        <v>45675</v>
      </c>
      <c r="C54" t="s">
        <v>8</v>
      </c>
      <c r="D54" t="s">
        <v>12</v>
      </c>
      <c r="E54">
        <v>31</v>
      </c>
      <c r="F54">
        <v>420</v>
      </c>
      <c r="G54" t="s">
        <v>16</v>
      </c>
      <c r="H54">
        <v>4.2</v>
      </c>
    </row>
    <row r="55" spans="1:8" x14ac:dyDescent="0.25">
      <c r="A55">
        <v>54</v>
      </c>
      <c r="B55" s="1">
        <v>45675</v>
      </c>
      <c r="C55" t="s">
        <v>11</v>
      </c>
      <c r="D55" t="s">
        <v>18</v>
      </c>
      <c r="E55">
        <v>24</v>
      </c>
      <c r="F55">
        <v>300</v>
      </c>
      <c r="G55" t="s">
        <v>13</v>
      </c>
      <c r="H55">
        <v>3.8</v>
      </c>
    </row>
    <row r="56" spans="1:8" x14ac:dyDescent="0.25">
      <c r="A56">
        <v>55</v>
      </c>
      <c r="B56" s="1">
        <v>45676</v>
      </c>
      <c r="C56" t="s">
        <v>14</v>
      </c>
      <c r="D56" t="s">
        <v>9</v>
      </c>
      <c r="E56">
        <v>20</v>
      </c>
      <c r="F56">
        <v>250</v>
      </c>
      <c r="G56" t="s">
        <v>10</v>
      </c>
      <c r="H56">
        <v>4</v>
      </c>
    </row>
    <row r="57" spans="1:8" x14ac:dyDescent="0.25">
      <c r="A57">
        <v>56</v>
      </c>
      <c r="B57" s="1">
        <v>45676</v>
      </c>
      <c r="C57" t="s">
        <v>19</v>
      </c>
      <c r="D57" t="s">
        <v>17</v>
      </c>
      <c r="E57">
        <v>37</v>
      </c>
      <c r="F57">
        <v>560</v>
      </c>
      <c r="G57" t="s">
        <v>13</v>
      </c>
      <c r="H57">
        <v>4.7</v>
      </c>
    </row>
    <row r="58" spans="1:8" x14ac:dyDescent="0.25">
      <c r="A58">
        <v>57</v>
      </c>
      <c r="B58" s="1">
        <v>45676</v>
      </c>
      <c r="C58" t="s">
        <v>20</v>
      </c>
      <c r="D58" t="s">
        <v>12</v>
      </c>
      <c r="E58">
        <v>29</v>
      </c>
      <c r="F58">
        <v>410</v>
      </c>
      <c r="G58" t="s">
        <v>16</v>
      </c>
      <c r="H58">
        <v>4.2</v>
      </c>
    </row>
    <row r="59" spans="1:8" x14ac:dyDescent="0.25">
      <c r="A59">
        <v>58</v>
      </c>
      <c r="B59" s="1">
        <v>45677</v>
      </c>
      <c r="C59" t="s">
        <v>8</v>
      </c>
      <c r="D59" t="s">
        <v>18</v>
      </c>
      <c r="E59">
        <v>23</v>
      </c>
      <c r="F59">
        <v>310</v>
      </c>
      <c r="G59" t="s">
        <v>10</v>
      </c>
      <c r="H59">
        <v>3.9</v>
      </c>
    </row>
    <row r="60" spans="1:8" x14ac:dyDescent="0.25">
      <c r="A60">
        <v>59</v>
      </c>
      <c r="B60" s="1">
        <v>45677</v>
      </c>
      <c r="C60" t="s">
        <v>11</v>
      </c>
      <c r="D60" t="s">
        <v>15</v>
      </c>
      <c r="E60">
        <v>34</v>
      </c>
      <c r="F60">
        <v>480</v>
      </c>
      <c r="G60" t="s">
        <v>13</v>
      </c>
      <c r="H60">
        <v>4.4000000000000004</v>
      </c>
    </row>
    <row r="61" spans="1:8" x14ac:dyDescent="0.25">
      <c r="A61">
        <v>60</v>
      </c>
      <c r="B61" s="1">
        <v>45677</v>
      </c>
      <c r="C61" t="s">
        <v>14</v>
      </c>
      <c r="D61" t="s">
        <v>17</v>
      </c>
      <c r="E61">
        <v>36</v>
      </c>
      <c r="F61">
        <v>540</v>
      </c>
      <c r="G61" t="s">
        <v>10</v>
      </c>
      <c r="H61">
        <v>4.5999999999999996</v>
      </c>
    </row>
    <row r="62" spans="1:8" x14ac:dyDescent="0.25">
      <c r="A62">
        <v>61</v>
      </c>
      <c r="B62" s="1">
        <v>45678</v>
      </c>
      <c r="C62" t="s">
        <v>19</v>
      </c>
      <c r="D62" t="s">
        <v>12</v>
      </c>
      <c r="E62">
        <v>32</v>
      </c>
      <c r="F62">
        <v>420</v>
      </c>
      <c r="G62" t="s">
        <v>16</v>
      </c>
      <c r="H62">
        <v>4.3</v>
      </c>
    </row>
    <row r="63" spans="1:8" x14ac:dyDescent="0.25">
      <c r="A63">
        <v>62</v>
      </c>
      <c r="B63" s="1">
        <v>45678</v>
      </c>
      <c r="C63" t="s">
        <v>20</v>
      </c>
      <c r="D63" t="s">
        <v>9</v>
      </c>
      <c r="E63">
        <v>20</v>
      </c>
      <c r="F63">
        <v>240</v>
      </c>
      <c r="G63" t="s">
        <v>10</v>
      </c>
      <c r="H63">
        <v>4</v>
      </c>
    </row>
    <row r="64" spans="1:8" x14ac:dyDescent="0.25">
      <c r="A64">
        <v>63</v>
      </c>
      <c r="B64" s="1">
        <v>45678</v>
      </c>
      <c r="C64" t="s">
        <v>8</v>
      </c>
      <c r="D64" t="s">
        <v>18</v>
      </c>
      <c r="E64">
        <v>23</v>
      </c>
      <c r="F64">
        <v>300</v>
      </c>
      <c r="G64" t="s">
        <v>13</v>
      </c>
      <c r="H64">
        <v>3.8</v>
      </c>
    </row>
    <row r="65" spans="1:8" x14ac:dyDescent="0.25">
      <c r="A65">
        <v>64</v>
      </c>
      <c r="B65" s="1">
        <v>45679</v>
      </c>
      <c r="C65" t="s">
        <v>11</v>
      </c>
      <c r="D65" t="s">
        <v>17</v>
      </c>
      <c r="E65">
        <v>35</v>
      </c>
      <c r="F65">
        <v>550</v>
      </c>
      <c r="G65" t="s">
        <v>10</v>
      </c>
      <c r="H65">
        <v>4.7</v>
      </c>
    </row>
    <row r="66" spans="1:8" x14ac:dyDescent="0.25">
      <c r="A66">
        <v>65</v>
      </c>
      <c r="B66" s="1">
        <v>45679</v>
      </c>
      <c r="C66" t="s">
        <v>14</v>
      </c>
      <c r="D66" t="s">
        <v>12</v>
      </c>
      <c r="E66">
        <v>31</v>
      </c>
      <c r="F66">
        <v>420</v>
      </c>
      <c r="G66" t="s">
        <v>16</v>
      </c>
      <c r="H66">
        <v>4.2</v>
      </c>
    </row>
    <row r="67" spans="1:8" x14ac:dyDescent="0.25">
      <c r="A67">
        <v>66</v>
      </c>
      <c r="B67" s="1">
        <v>45679</v>
      </c>
      <c r="C67" t="s">
        <v>19</v>
      </c>
      <c r="D67" t="s">
        <v>9</v>
      </c>
      <c r="E67">
        <v>21</v>
      </c>
      <c r="F67">
        <v>240</v>
      </c>
      <c r="G67" t="s">
        <v>13</v>
      </c>
      <c r="H67">
        <v>4.0999999999999996</v>
      </c>
    </row>
    <row r="68" spans="1:8" x14ac:dyDescent="0.25">
      <c r="A68">
        <v>67</v>
      </c>
      <c r="B68" s="1">
        <v>45680</v>
      </c>
      <c r="C68" t="s">
        <v>20</v>
      </c>
      <c r="D68" t="s">
        <v>18</v>
      </c>
      <c r="E68">
        <v>24</v>
      </c>
      <c r="F68">
        <v>310</v>
      </c>
      <c r="G68" t="s">
        <v>10</v>
      </c>
      <c r="H68">
        <v>3.9</v>
      </c>
    </row>
    <row r="69" spans="1:8" x14ac:dyDescent="0.25">
      <c r="A69">
        <v>68</v>
      </c>
      <c r="B69" s="1">
        <v>45680</v>
      </c>
      <c r="C69" t="s">
        <v>8</v>
      </c>
      <c r="D69" t="s">
        <v>17</v>
      </c>
      <c r="E69">
        <v>36</v>
      </c>
      <c r="F69">
        <v>540</v>
      </c>
      <c r="G69" t="s">
        <v>16</v>
      </c>
      <c r="H69">
        <v>4.5999999999999996</v>
      </c>
    </row>
    <row r="70" spans="1:8" x14ac:dyDescent="0.25">
      <c r="A70">
        <v>69</v>
      </c>
      <c r="B70" s="1">
        <v>45680</v>
      </c>
      <c r="C70" t="s">
        <v>11</v>
      </c>
      <c r="D70" t="s">
        <v>12</v>
      </c>
      <c r="E70">
        <v>33</v>
      </c>
      <c r="F70">
        <v>430</v>
      </c>
      <c r="G70" t="s">
        <v>13</v>
      </c>
      <c r="H70">
        <v>4.3</v>
      </c>
    </row>
    <row r="71" spans="1:8" x14ac:dyDescent="0.25">
      <c r="A71">
        <v>70</v>
      </c>
      <c r="B71" s="1">
        <v>45681</v>
      </c>
      <c r="C71" t="s">
        <v>14</v>
      </c>
      <c r="D71" t="s">
        <v>9</v>
      </c>
      <c r="E71">
        <v>19</v>
      </c>
      <c r="F71">
        <v>230</v>
      </c>
      <c r="G71" t="s">
        <v>10</v>
      </c>
      <c r="H71">
        <v>4</v>
      </c>
    </row>
    <row r="72" spans="1:8" x14ac:dyDescent="0.25">
      <c r="A72">
        <v>71</v>
      </c>
      <c r="B72" s="1">
        <v>45681</v>
      </c>
      <c r="C72" t="s">
        <v>19</v>
      </c>
      <c r="D72" t="s">
        <v>18</v>
      </c>
      <c r="E72">
        <v>22</v>
      </c>
      <c r="F72">
        <v>290</v>
      </c>
      <c r="G72" t="s">
        <v>13</v>
      </c>
      <c r="H72">
        <v>3.8</v>
      </c>
    </row>
    <row r="73" spans="1:8" x14ac:dyDescent="0.25">
      <c r="A73">
        <v>72</v>
      </c>
      <c r="B73" s="1">
        <v>45681</v>
      </c>
      <c r="C73" t="s">
        <v>20</v>
      </c>
      <c r="D73" t="s">
        <v>17</v>
      </c>
      <c r="E73">
        <v>34</v>
      </c>
      <c r="F73">
        <v>520</v>
      </c>
      <c r="G73" t="s">
        <v>10</v>
      </c>
      <c r="H73">
        <v>4.5</v>
      </c>
    </row>
    <row r="74" spans="1:8" x14ac:dyDescent="0.25">
      <c r="A74">
        <v>73</v>
      </c>
      <c r="B74" s="1">
        <v>45682</v>
      </c>
      <c r="C74" t="s">
        <v>8</v>
      </c>
      <c r="D74" t="s">
        <v>12</v>
      </c>
      <c r="E74">
        <v>31</v>
      </c>
      <c r="F74">
        <v>420</v>
      </c>
      <c r="G74" t="s">
        <v>16</v>
      </c>
      <c r="H74">
        <v>4.2</v>
      </c>
    </row>
    <row r="75" spans="1:8" x14ac:dyDescent="0.25">
      <c r="A75">
        <v>74</v>
      </c>
      <c r="B75" s="1">
        <v>45682</v>
      </c>
      <c r="C75" t="s">
        <v>11</v>
      </c>
      <c r="D75" t="s">
        <v>18</v>
      </c>
      <c r="E75">
        <v>24</v>
      </c>
      <c r="F75">
        <v>300</v>
      </c>
      <c r="G75" t="s">
        <v>13</v>
      </c>
      <c r="H75">
        <v>3.9</v>
      </c>
    </row>
    <row r="76" spans="1:8" x14ac:dyDescent="0.25">
      <c r="A76">
        <v>75</v>
      </c>
      <c r="B76" s="1">
        <v>45682</v>
      </c>
      <c r="C76" t="s">
        <v>14</v>
      </c>
      <c r="D76" t="s">
        <v>9</v>
      </c>
      <c r="E76">
        <v>20</v>
      </c>
      <c r="F76">
        <v>250</v>
      </c>
      <c r="G76" t="s">
        <v>10</v>
      </c>
      <c r="H76">
        <v>4.0999999999999996</v>
      </c>
    </row>
    <row r="77" spans="1:8" x14ac:dyDescent="0.25">
      <c r="A77">
        <v>76</v>
      </c>
      <c r="B77" s="1">
        <v>45683</v>
      </c>
      <c r="C77" t="s">
        <v>19</v>
      </c>
      <c r="D77" t="s">
        <v>17</v>
      </c>
      <c r="E77">
        <v>37</v>
      </c>
      <c r="F77">
        <v>560</v>
      </c>
      <c r="G77" t="s">
        <v>13</v>
      </c>
      <c r="H77">
        <v>4.7</v>
      </c>
    </row>
    <row r="78" spans="1:8" x14ac:dyDescent="0.25">
      <c r="A78">
        <v>77</v>
      </c>
      <c r="B78" s="1">
        <v>45683</v>
      </c>
      <c r="C78" t="s">
        <v>20</v>
      </c>
      <c r="D78" t="s">
        <v>12</v>
      </c>
      <c r="E78">
        <v>29</v>
      </c>
      <c r="F78">
        <v>410</v>
      </c>
      <c r="G78" t="s">
        <v>10</v>
      </c>
      <c r="H78">
        <v>4.3</v>
      </c>
    </row>
    <row r="79" spans="1:8" x14ac:dyDescent="0.25">
      <c r="A79">
        <v>78</v>
      </c>
      <c r="B79" s="1">
        <v>45683</v>
      </c>
      <c r="C79" t="s">
        <v>8</v>
      </c>
      <c r="D79" t="s">
        <v>18</v>
      </c>
      <c r="E79">
        <v>23</v>
      </c>
      <c r="F79">
        <v>310</v>
      </c>
      <c r="G79" t="s">
        <v>16</v>
      </c>
      <c r="H79">
        <v>3.8</v>
      </c>
    </row>
    <row r="80" spans="1:8" x14ac:dyDescent="0.25">
      <c r="A80">
        <v>79</v>
      </c>
      <c r="B80" s="1">
        <v>45684</v>
      </c>
      <c r="C80" t="s">
        <v>11</v>
      </c>
      <c r="D80" t="s">
        <v>15</v>
      </c>
      <c r="E80">
        <v>34</v>
      </c>
      <c r="F80">
        <v>480</v>
      </c>
      <c r="G80" t="s">
        <v>13</v>
      </c>
      <c r="H80">
        <v>4.4000000000000004</v>
      </c>
    </row>
    <row r="81" spans="1:8" x14ac:dyDescent="0.25">
      <c r="A81">
        <v>80</v>
      </c>
      <c r="B81" s="1">
        <v>45684</v>
      </c>
      <c r="C81" t="s">
        <v>14</v>
      </c>
      <c r="D81" t="s">
        <v>17</v>
      </c>
      <c r="E81">
        <v>36</v>
      </c>
      <c r="F81">
        <v>540</v>
      </c>
      <c r="G81" t="s">
        <v>10</v>
      </c>
      <c r="H81">
        <v>4.5999999999999996</v>
      </c>
    </row>
    <row r="82" spans="1:8" x14ac:dyDescent="0.25">
      <c r="A82">
        <v>81</v>
      </c>
      <c r="B82" s="1">
        <v>45684</v>
      </c>
      <c r="C82" t="s">
        <v>19</v>
      </c>
      <c r="D82" t="s">
        <v>12</v>
      </c>
      <c r="E82">
        <v>32</v>
      </c>
      <c r="F82">
        <v>420</v>
      </c>
      <c r="G82" t="s">
        <v>16</v>
      </c>
      <c r="H82">
        <v>4.3</v>
      </c>
    </row>
    <row r="83" spans="1:8" x14ac:dyDescent="0.25">
      <c r="A83">
        <v>82</v>
      </c>
      <c r="B83" s="1">
        <v>45685</v>
      </c>
      <c r="C83" t="s">
        <v>20</v>
      </c>
      <c r="D83" t="s">
        <v>9</v>
      </c>
      <c r="E83">
        <v>20</v>
      </c>
      <c r="F83">
        <v>240</v>
      </c>
      <c r="G83" t="s">
        <v>10</v>
      </c>
      <c r="H83">
        <v>4.0999999999999996</v>
      </c>
    </row>
    <row r="84" spans="1:8" x14ac:dyDescent="0.25">
      <c r="A84">
        <v>83</v>
      </c>
      <c r="B84" s="1">
        <v>45685</v>
      </c>
      <c r="C84" t="s">
        <v>8</v>
      </c>
      <c r="D84" t="s">
        <v>18</v>
      </c>
      <c r="E84">
        <v>23</v>
      </c>
      <c r="F84">
        <v>300</v>
      </c>
      <c r="G84" t="s">
        <v>13</v>
      </c>
      <c r="H84">
        <v>3.9</v>
      </c>
    </row>
    <row r="85" spans="1:8" x14ac:dyDescent="0.25">
      <c r="A85">
        <v>84</v>
      </c>
      <c r="B85" s="1">
        <v>45685</v>
      </c>
      <c r="C85" t="s">
        <v>11</v>
      </c>
      <c r="D85" t="s">
        <v>17</v>
      </c>
      <c r="E85">
        <v>35</v>
      </c>
      <c r="F85">
        <v>550</v>
      </c>
      <c r="G85" t="s">
        <v>10</v>
      </c>
      <c r="H85">
        <v>4.7</v>
      </c>
    </row>
    <row r="86" spans="1:8" x14ac:dyDescent="0.25">
      <c r="A86">
        <v>85</v>
      </c>
      <c r="B86" s="1">
        <v>45686</v>
      </c>
      <c r="C86" t="s">
        <v>14</v>
      </c>
      <c r="D86" t="s">
        <v>12</v>
      </c>
      <c r="E86">
        <v>31</v>
      </c>
      <c r="F86">
        <v>420</v>
      </c>
      <c r="G86" t="s">
        <v>16</v>
      </c>
      <c r="H86">
        <v>4.2</v>
      </c>
    </row>
    <row r="87" spans="1:8" x14ac:dyDescent="0.25">
      <c r="A87">
        <v>86</v>
      </c>
      <c r="B87" s="1">
        <v>45686</v>
      </c>
      <c r="C87" t="s">
        <v>19</v>
      </c>
      <c r="D87" t="s">
        <v>9</v>
      </c>
      <c r="E87">
        <v>21</v>
      </c>
      <c r="F87">
        <v>240</v>
      </c>
      <c r="G87" t="s">
        <v>13</v>
      </c>
      <c r="H87">
        <v>4</v>
      </c>
    </row>
    <row r="88" spans="1:8" x14ac:dyDescent="0.25">
      <c r="A88">
        <v>87</v>
      </c>
      <c r="B88" s="1">
        <v>45686</v>
      </c>
      <c r="C88" t="s">
        <v>20</v>
      </c>
      <c r="D88" t="s">
        <v>18</v>
      </c>
      <c r="E88">
        <v>24</v>
      </c>
      <c r="F88">
        <v>310</v>
      </c>
      <c r="G88" t="s">
        <v>10</v>
      </c>
      <c r="H88">
        <v>3.8</v>
      </c>
    </row>
    <row r="89" spans="1:8" x14ac:dyDescent="0.25">
      <c r="A89">
        <v>88</v>
      </c>
      <c r="B89" s="1">
        <v>45687</v>
      </c>
      <c r="C89" t="s">
        <v>8</v>
      </c>
      <c r="D89" t="s">
        <v>17</v>
      </c>
      <c r="E89">
        <v>36</v>
      </c>
      <c r="F89">
        <v>540</v>
      </c>
      <c r="G89" t="s">
        <v>13</v>
      </c>
      <c r="H89">
        <v>4.5999999999999996</v>
      </c>
    </row>
    <row r="90" spans="1:8" x14ac:dyDescent="0.25">
      <c r="A90">
        <v>89</v>
      </c>
      <c r="B90" s="1">
        <v>45687</v>
      </c>
      <c r="C90" t="s">
        <v>11</v>
      </c>
      <c r="D90" t="s">
        <v>12</v>
      </c>
      <c r="E90">
        <v>33</v>
      </c>
      <c r="F90">
        <v>430</v>
      </c>
      <c r="G90" t="s">
        <v>10</v>
      </c>
      <c r="H90">
        <v>4.3</v>
      </c>
    </row>
    <row r="91" spans="1:8" x14ac:dyDescent="0.25">
      <c r="A91">
        <v>90</v>
      </c>
      <c r="B91" s="1">
        <v>45687</v>
      </c>
      <c r="C91" t="s">
        <v>14</v>
      </c>
      <c r="D91" t="s">
        <v>9</v>
      </c>
      <c r="E91">
        <v>19</v>
      </c>
      <c r="F91">
        <v>230</v>
      </c>
      <c r="G91" t="s">
        <v>16</v>
      </c>
      <c r="H91">
        <v>4.0999999999999996</v>
      </c>
    </row>
    <row r="92" spans="1:8" x14ac:dyDescent="0.25">
      <c r="A92">
        <v>91</v>
      </c>
      <c r="B92" s="1">
        <v>45688</v>
      </c>
      <c r="C92" t="s">
        <v>19</v>
      </c>
      <c r="D92" t="s">
        <v>18</v>
      </c>
      <c r="E92">
        <v>22</v>
      </c>
      <c r="F92">
        <v>290</v>
      </c>
      <c r="G92" t="s">
        <v>10</v>
      </c>
      <c r="H92">
        <v>3.9</v>
      </c>
    </row>
    <row r="93" spans="1:8" x14ac:dyDescent="0.25">
      <c r="A93">
        <v>92</v>
      </c>
      <c r="B93" s="1">
        <v>45688</v>
      </c>
      <c r="C93" t="s">
        <v>20</v>
      </c>
      <c r="D93" t="s">
        <v>17</v>
      </c>
      <c r="E93">
        <v>34</v>
      </c>
      <c r="F93">
        <v>520</v>
      </c>
      <c r="G93" t="s">
        <v>13</v>
      </c>
      <c r="H93">
        <v>4.5</v>
      </c>
    </row>
    <row r="94" spans="1:8" x14ac:dyDescent="0.25">
      <c r="A94">
        <v>93</v>
      </c>
      <c r="B94" s="1">
        <v>45688</v>
      </c>
      <c r="C94" t="s">
        <v>8</v>
      </c>
      <c r="D94" t="s">
        <v>12</v>
      </c>
      <c r="E94">
        <v>31</v>
      </c>
      <c r="F94">
        <v>420</v>
      </c>
      <c r="G94" t="s">
        <v>10</v>
      </c>
      <c r="H94">
        <v>4.2</v>
      </c>
    </row>
    <row r="95" spans="1:8" x14ac:dyDescent="0.25">
      <c r="A95">
        <v>94</v>
      </c>
      <c r="B95" s="1">
        <v>45689</v>
      </c>
      <c r="C95" t="s">
        <v>11</v>
      </c>
      <c r="D95" t="s">
        <v>18</v>
      </c>
      <c r="E95">
        <v>24</v>
      </c>
      <c r="F95">
        <v>300</v>
      </c>
      <c r="G95" t="s">
        <v>16</v>
      </c>
      <c r="H95">
        <v>3.8</v>
      </c>
    </row>
    <row r="96" spans="1:8" x14ac:dyDescent="0.25">
      <c r="A96">
        <v>95</v>
      </c>
      <c r="B96" s="1">
        <v>45689</v>
      </c>
      <c r="C96" t="s">
        <v>14</v>
      </c>
      <c r="D96" t="s">
        <v>9</v>
      </c>
      <c r="E96">
        <v>20</v>
      </c>
      <c r="F96">
        <v>250</v>
      </c>
      <c r="G96" t="s">
        <v>13</v>
      </c>
      <c r="H96">
        <v>4</v>
      </c>
    </row>
    <row r="97" spans="1:8" x14ac:dyDescent="0.25">
      <c r="A97">
        <v>96</v>
      </c>
      <c r="B97" s="1">
        <v>45689</v>
      </c>
      <c r="C97" t="s">
        <v>19</v>
      </c>
      <c r="D97" t="s">
        <v>17</v>
      </c>
      <c r="E97">
        <v>37</v>
      </c>
      <c r="F97">
        <v>560</v>
      </c>
      <c r="G97" t="s">
        <v>10</v>
      </c>
      <c r="H97">
        <v>4.7</v>
      </c>
    </row>
    <row r="98" spans="1:8" x14ac:dyDescent="0.25">
      <c r="A98">
        <v>97</v>
      </c>
      <c r="B98" s="1">
        <v>45690</v>
      </c>
      <c r="C98" t="s">
        <v>20</v>
      </c>
      <c r="D98" t="s">
        <v>12</v>
      </c>
      <c r="E98">
        <v>29</v>
      </c>
      <c r="F98">
        <v>410</v>
      </c>
      <c r="G98" t="s">
        <v>13</v>
      </c>
      <c r="H98">
        <v>4.3</v>
      </c>
    </row>
    <row r="99" spans="1:8" x14ac:dyDescent="0.25">
      <c r="A99">
        <v>98</v>
      </c>
      <c r="B99" s="1">
        <v>45690</v>
      </c>
      <c r="C99" t="s">
        <v>8</v>
      </c>
      <c r="D99" t="s">
        <v>18</v>
      </c>
      <c r="E99">
        <v>23</v>
      </c>
      <c r="F99">
        <v>310</v>
      </c>
      <c r="G99" t="s">
        <v>10</v>
      </c>
      <c r="H99">
        <v>3.9</v>
      </c>
    </row>
    <row r="100" spans="1:8" x14ac:dyDescent="0.25">
      <c r="A100">
        <v>99</v>
      </c>
      <c r="B100" s="1">
        <v>45690</v>
      </c>
      <c r="C100" t="s">
        <v>11</v>
      </c>
      <c r="D100" t="s">
        <v>15</v>
      </c>
      <c r="E100">
        <v>34</v>
      </c>
      <c r="F100">
        <v>480</v>
      </c>
      <c r="G100" t="s">
        <v>16</v>
      </c>
      <c r="H100">
        <v>4.4000000000000004</v>
      </c>
    </row>
    <row r="101" spans="1:8" x14ac:dyDescent="0.25">
      <c r="A101">
        <v>100</v>
      </c>
      <c r="B101" s="1">
        <v>45690</v>
      </c>
      <c r="C101" t="s">
        <v>14</v>
      </c>
      <c r="D101" t="s">
        <v>17</v>
      </c>
      <c r="E101">
        <v>36</v>
      </c>
      <c r="F101">
        <v>540</v>
      </c>
      <c r="G101" t="s">
        <v>10</v>
      </c>
      <c r="H101">
        <v>4.5999999999999996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42"/>
  <sheetViews>
    <sheetView topLeftCell="A28" workbookViewId="0">
      <selection activeCell="A38" sqref="A38:B42"/>
    </sheetView>
  </sheetViews>
  <sheetFormatPr defaultRowHeight="15" x14ac:dyDescent="0.25"/>
  <cols>
    <col min="1" max="1" width="13.140625" customWidth="1"/>
    <col min="2" max="2" width="13.28515625" customWidth="1"/>
  </cols>
  <sheetData>
    <row r="3" spans="1:2" x14ac:dyDescent="0.25">
      <c r="A3" s="2" t="s">
        <v>21</v>
      </c>
      <c r="B3" t="s">
        <v>23</v>
      </c>
    </row>
    <row r="4" spans="1:2" x14ac:dyDescent="0.25">
      <c r="A4" s="3" t="s">
        <v>11</v>
      </c>
      <c r="B4" s="4">
        <v>1008</v>
      </c>
    </row>
    <row r="5" spans="1:2" x14ac:dyDescent="0.25">
      <c r="A5" s="3" t="s">
        <v>14</v>
      </c>
      <c r="B5" s="4">
        <v>578</v>
      </c>
    </row>
    <row r="6" spans="1:2" x14ac:dyDescent="0.25">
      <c r="A6" s="3" t="s">
        <v>8</v>
      </c>
      <c r="B6" s="4">
        <v>984</v>
      </c>
    </row>
    <row r="7" spans="1:2" x14ac:dyDescent="0.25">
      <c r="A7" s="3" t="s">
        <v>19</v>
      </c>
      <c r="B7" s="4">
        <v>760</v>
      </c>
    </row>
    <row r="8" spans="1:2" x14ac:dyDescent="0.25">
      <c r="A8" s="3" t="s">
        <v>20</v>
      </c>
      <c r="B8" s="4">
        <v>778</v>
      </c>
    </row>
    <row r="9" spans="1:2" x14ac:dyDescent="0.25">
      <c r="A9" s="3" t="s">
        <v>22</v>
      </c>
      <c r="B9" s="4">
        <v>4108</v>
      </c>
    </row>
    <row r="12" spans="1:2" x14ac:dyDescent="0.25">
      <c r="A12" s="2" t="s">
        <v>21</v>
      </c>
      <c r="B12" t="s">
        <v>23</v>
      </c>
    </row>
    <row r="13" spans="1:2" x14ac:dyDescent="0.25">
      <c r="A13" s="3" t="s">
        <v>17</v>
      </c>
      <c r="B13" s="4">
        <v>1297</v>
      </c>
    </row>
    <row r="14" spans="1:2" x14ac:dyDescent="0.25">
      <c r="A14" s="3" t="s">
        <v>12</v>
      </c>
      <c r="B14" s="4">
        <v>1233</v>
      </c>
    </row>
    <row r="15" spans="1:2" x14ac:dyDescent="0.25">
      <c r="A15" s="3" t="s">
        <v>18</v>
      </c>
      <c r="B15" s="4">
        <v>1232</v>
      </c>
    </row>
    <row r="16" spans="1:2" x14ac:dyDescent="0.25">
      <c r="A16" s="3" t="s">
        <v>15</v>
      </c>
      <c r="B16" s="4">
        <v>346</v>
      </c>
    </row>
    <row r="17" spans="1:2" x14ac:dyDescent="0.25">
      <c r="A17" s="3" t="s">
        <v>22</v>
      </c>
      <c r="B17" s="4">
        <v>4108</v>
      </c>
    </row>
    <row r="21" spans="1:2" x14ac:dyDescent="0.25">
      <c r="A21" s="2" t="s">
        <v>21</v>
      </c>
      <c r="B21" t="s">
        <v>24</v>
      </c>
    </row>
    <row r="22" spans="1:2" x14ac:dyDescent="0.25">
      <c r="A22" s="3" t="s">
        <v>11</v>
      </c>
      <c r="B22" s="4">
        <v>38</v>
      </c>
    </row>
    <row r="23" spans="1:2" x14ac:dyDescent="0.25">
      <c r="A23" s="3" t="s">
        <v>14</v>
      </c>
      <c r="B23" s="4">
        <v>37</v>
      </c>
    </row>
    <row r="24" spans="1:2" x14ac:dyDescent="0.25">
      <c r="A24" s="3" t="s">
        <v>8</v>
      </c>
      <c r="B24" s="4">
        <v>36</v>
      </c>
    </row>
    <row r="25" spans="1:2" x14ac:dyDescent="0.25">
      <c r="A25" s="3" t="s">
        <v>19</v>
      </c>
      <c r="B25" s="4">
        <v>37</v>
      </c>
    </row>
    <row r="26" spans="1:2" x14ac:dyDescent="0.25">
      <c r="A26" s="3" t="s">
        <v>20</v>
      </c>
      <c r="B26" s="4">
        <v>37</v>
      </c>
    </row>
    <row r="27" spans="1:2" x14ac:dyDescent="0.25">
      <c r="A27" s="3" t="s">
        <v>22</v>
      </c>
      <c r="B27" s="4">
        <v>38</v>
      </c>
    </row>
    <row r="30" spans="1:2" x14ac:dyDescent="0.25">
      <c r="A30" s="2" t="s">
        <v>21</v>
      </c>
      <c r="B30" t="s">
        <v>25</v>
      </c>
    </row>
    <row r="31" spans="1:2" x14ac:dyDescent="0.25">
      <c r="A31" s="3" t="s">
        <v>13</v>
      </c>
      <c r="B31" s="4">
        <v>29</v>
      </c>
    </row>
    <row r="32" spans="1:2" x14ac:dyDescent="0.25">
      <c r="A32" s="3" t="s">
        <v>16</v>
      </c>
      <c r="B32" s="4">
        <v>20</v>
      </c>
    </row>
    <row r="33" spans="1:2" x14ac:dyDescent="0.25">
      <c r="A33" s="3" t="s">
        <v>10</v>
      </c>
      <c r="B33" s="4">
        <v>32</v>
      </c>
    </row>
    <row r="34" spans="1:2" x14ac:dyDescent="0.25">
      <c r="A34" s="3" t="s">
        <v>22</v>
      </c>
      <c r="B34" s="4">
        <v>81</v>
      </c>
    </row>
    <row r="37" spans="1:2" x14ac:dyDescent="0.25">
      <c r="A37" s="2" t="s">
        <v>21</v>
      </c>
      <c r="B37" t="s">
        <v>26</v>
      </c>
    </row>
    <row r="38" spans="1:2" x14ac:dyDescent="0.25">
      <c r="A38" s="3" t="s">
        <v>17</v>
      </c>
      <c r="B38" s="4">
        <v>4.7</v>
      </c>
    </row>
    <row r="39" spans="1:2" x14ac:dyDescent="0.25">
      <c r="A39" s="3" t="s">
        <v>12</v>
      </c>
      <c r="B39" s="4">
        <v>4.4000000000000004</v>
      </c>
    </row>
    <row r="40" spans="1:2" x14ac:dyDescent="0.25">
      <c r="A40" s="3" t="s">
        <v>18</v>
      </c>
      <c r="B40" s="4">
        <v>3.9</v>
      </c>
    </row>
    <row r="41" spans="1:2" x14ac:dyDescent="0.25">
      <c r="A41" s="3" t="s">
        <v>15</v>
      </c>
      <c r="B41" s="4">
        <v>4.4000000000000004</v>
      </c>
    </row>
    <row r="42" spans="1:2" x14ac:dyDescent="0.25">
      <c r="A42" s="3" t="s">
        <v>22</v>
      </c>
      <c r="B42" s="4">
        <v>4.7</v>
      </c>
    </row>
  </sheetData>
  <pageMargins left="0.7" right="0.7" top="0.75" bottom="0.75" header="0.3" footer="0.3"/>
  <pageSetup orientation="portrait" horizontalDpi="1200" verticalDpi="1200" r:id="rId6"/>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workbookViewId="0">
      <selection activeCell="G31" sqref="G3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PIvots</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dc:creator>
  <cp:lastModifiedBy>star</cp:lastModifiedBy>
  <dcterms:created xsi:type="dcterms:W3CDTF">2026-03-28T14:14:36Z</dcterms:created>
  <dcterms:modified xsi:type="dcterms:W3CDTF">2026-03-28T15:54:44Z</dcterms:modified>
</cp:coreProperties>
</file>